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heck-in" sheetId="2" state="visible" r:id="rId4"/>
    <sheet name="Tasks" sheetId="3" state="visible" r:id="rId5"/>
    <sheet name="Bugs" sheetId="4" state="visible" r:id="rId6"/>
    <sheet name="UX Notes" sheetId="5" state="visible" r:id="rId7"/>
    <sheet name="Check-out" sheetId="6" state="visible" r:id="rId8"/>
    <sheet name="Dashboard" sheetId="7" state="visible" r:id="rId9"/>
    <sheet name="Lists" sheetId="8" state="hidden" r:id="rId10"/>
  </sheets>
  <definedNames>
    <definedName function="false" hidden="true" localSheetId="3" name="_xlnm._FilterDatabase" vbProcedure="false">Bugs!$A$4:$M$305</definedName>
    <definedName function="false" hidden="true" localSheetId="1" name="_xlnm._FilterDatabase" vbProcedure="false">'Check-in'!$A$4:$H$205</definedName>
    <definedName function="false" hidden="true" localSheetId="5" name="_xlnm._FilterDatabase" vbProcedure="false">'Check-out'!$A$4:$L$205</definedName>
    <definedName function="false" hidden="false" localSheetId="2" name="_xlnm.Print_Titles" vbProcedure="false">Tasks!$4:$4</definedName>
    <definedName function="false" hidden="true" localSheetId="2" name="_xlnm._FilterDatabase" vbProcedure="false">Tasks!$A$4:$J$48</definedName>
    <definedName function="false" hidden="true" localSheetId="4" name="_xlnm._FilterDatabase" vbProcedure="false">'UX Notes'!$A$4:$H$205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<sst xmlns="http://schemas.openxmlformats.org/spreadsheetml/2006/main" count="531" uniqueCount="432">
  <si>
    <t xml:space="preserve">FynHelp Tester Kit  ·  READ ME FIRST</t>
  </si>
  <si>
    <t xml:space="preserve">One workbook, six sheets. Check in, do your tasks, log what you find, check out. About 2 to 3 hours a day.</t>
  </si>
  <si>
    <t xml:space="preserve">1.  YOUR DAY IN FIVE STEPS</t>
  </si>
  <si>
    <t xml:space="preserve">When</t>
  </si>
  <si>
    <t xml:space="preserve">Open this sheet</t>
  </si>
  <si>
    <t xml:space="preserve">Time</t>
  </si>
  <si>
    <t xml:space="preserve">What to do</t>
  </si>
  <si>
    <t xml:space="preserve">1. Start of day</t>
  </si>
  <si>
    <t xml:space="preserve">Check-in</t>
  </si>
  <si>
    <t xml:space="preserve">2 min</t>
  </si>
  <si>
    <t xml:space="preserve">Add one row: date, your name, start time, which Day of the plan you are on. Tick off your plan in Tasks.</t>
  </si>
  <si>
    <t xml:space="preserve">2. Work</t>
  </si>
  <si>
    <t xml:space="preserve">Tasks</t>
  </si>
  <si>
    <t xml:space="preserve">2 to 3 hours</t>
  </si>
  <si>
    <t xml:space="preserve">Do the tasks for today's Day, in order. Change Status as you go: Not started, In progress, Done, Blocked. Never leave a task untouched without a note.</t>
  </si>
  <si>
    <t xml:space="preserve">3. Found something broken</t>
  </si>
  <si>
    <t xml:space="preserve">Bugs</t>
  </si>
  <si>
    <t xml:space="preserve">3 to 5 min each</t>
  </si>
  <si>
    <t xml:space="preserve">One row per problem, filled straight away, with a screenshot. Pick a Severity.</t>
  </si>
  <si>
    <t xml:space="preserve">4. Confusing, slow or ugly but it works</t>
  </si>
  <si>
    <t xml:space="preserve">UX Notes</t>
  </si>
  <si>
    <t xml:space="preserve">2 min each</t>
  </si>
  <si>
    <t xml:space="preserve">Tell us what confused you and what you expected. These notes are as valuable as bugs.</t>
  </si>
  <si>
    <t xml:space="preserve">5. End of day</t>
  </si>
  <si>
    <t xml:space="preserve">Check-out</t>
  </si>
  <si>
    <t xml:space="preserve">5 min</t>
  </si>
  <si>
    <t xml:space="preserve">One row: end time, tasks done, what is left and why, one thing you learned, plan for tomorrow.</t>
  </si>
  <si>
    <t xml:space="preserve">Team lead only</t>
  </si>
  <si>
    <t xml:space="preserve">Dashboard</t>
  </si>
  <si>
    <t xml:space="preserve">-</t>
  </si>
  <si>
    <t xml:space="preserve">Live summary: task progress, bugs by severity, hours per tester. Testers only look, never type here.</t>
  </si>
  <si>
    <t xml:space="preserve">2.  BUG or UX NOTE?  (ask yourself one question)</t>
  </si>
  <si>
    <t xml:space="preserve">If</t>
  </si>
  <si>
    <t xml:space="preserve">Use</t>
  </si>
  <si>
    <t xml:space="preserve">Examples</t>
  </si>
  <si>
    <t xml:space="preserve">It is WRONG or BROKEN</t>
  </si>
  <si>
    <t xml:space="preserve">A number is wrong, a button does nothing, a page crashes, a message is false, something you saved is gone. If a developer could fix it, it is a bug.</t>
  </si>
  <si>
    <t xml:space="preserve">It WORKS but feels bad</t>
  </si>
  <si>
    <t xml:space="preserve">Confusing words, too many clicks, slow, hard to read on a phone, you did not know what to do next. Tell us what you expected.</t>
  </si>
  <si>
    <t xml:space="preserve">Not sure</t>
  </si>
  <si>
    <t xml:space="preserve">File it as a bug with Severity = Minor. Your lead will move it if needed. A wasted row costs nothing; a missed bug does.</t>
  </si>
  <si>
    <t xml:space="preserve">3.  COLOUR CODES  (the same everywhere)</t>
  </si>
  <si>
    <t xml:space="preserve">Deep maroon, white text</t>
  </si>
  <si>
    <t xml:space="preserve">Column headings. Do not type here.</t>
  </si>
  <si>
    <t xml:space="preserve">Cream cell</t>
  </si>
  <si>
    <t xml:space="preserve">Your cell. Type here.</t>
  </si>
  <si>
    <t xml:space="preserve">Grey italic cell</t>
  </si>
  <si>
    <t xml:space="preserve">Fills itself in. Do not type here.</t>
  </si>
  <si>
    <t xml:space="preserve">Beige italic row</t>
  </si>
  <si>
    <t xml:space="preserve">An EXAMPLE row showing the format. Copy its style, then ignore it.</t>
  </si>
  <si>
    <t xml:space="preserve">Green</t>
  </si>
  <si>
    <t xml:space="preserve">Good: Done, Closed, Fixed, hours on target.</t>
  </si>
  <si>
    <t xml:space="preserve">Amber</t>
  </si>
  <si>
    <t xml:space="preserve">Needs attention: In progress, New bug, Minor, Medium impact, under 2 hours.</t>
  </si>
  <si>
    <t xml:space="preserve">Red</t>
  </si>
  <si>
    <t xml:space="preserve">Stuck or serious: Blocked, Reopened, High impact.</t>
  </si>
  <si>
    <t xml:space="preserve">Solid red, white text</t>
  </si>
  <si>
    <t xml:space="preserve">Severity MAJOR bug.</t>
  </si>
  <si>
    <t xml:space="preserve">Solid maroon, white text</t>
  </si>
  <si>
    <t xml:space="preserve">Severity BLOCKER bug. Tell your lead by message as well.</t>
  </si>
  <si>
    <t xml:space="preserve">Light grey</t>
  </si>
  <si>
    <t xml:space="preserve">Parked: Skipped, Duplicate, Cosmetic, Low impact.</t>
  </si>
  <si>
    <t xml:space="preserve">4.  SEVERITY: how bad is the bug?</t>
  </si>
  <si>
    <t xml:space="preserve">Severity</t>
  </si>
  <si>
    <t xml:space="preserve">In short</t>
  </si>
  <si>
    <t xml:space="preserve">Meaning and example</t>
  </si>
  <si>
    <t xml:space="preserve">Blocker</t>
  </si>
  <si>
    <t xml:space="preserve">Cannot continue</t>
  </si>
  <si>
    <t xml:space="preserve">You cannot go on, data is lost, a money figure is wrong, or something private is visible to the wrong person. Example: MIS revenue does not equal the transactions behind it.</t>
  </si>
  <si>
    <t xml:space="preserve">Major</t>
  </si>
  <si>
    <t xml:space="preserve">Feature fails</t>
  </si>
  <si>
    <t xml:space="preserve">The feature does not do what it says, but there is a way round. Example: Excel export is empty; PDF works.</t>
  </si>
  <si>
    <t xml:space="preserve">Minor</t>
  </si>
  <si>
    <t xml:space="preserve">Small glitch</t>
  </si>
  <si>
    <t xml:space="preserve">Works, but something is off. Example: wrong message after upload; a filter forgets your choice.</t>
  </si>
  <si>
    <t xml:space="preserve">Cosmetic</t>
  </si>
  <si>
    <t xml:space="preserve">Looks wrong</t>
  </si>
  <si>
    <t xml:space="preserve">Spelling, spacing, alignment, colour, a cut-off word.</t>
  </si>
  <si>
    <t xml:space="preserve">5.  A GOOD BUG IN 60 SECONDS</t>
  </si>
  <si>
    <t xml:space="preserve">1.  Where: the page or screen name, as the menu calls it (for example Documents).
2.  Title: one line that says what is wrong. Good: "Upload shows 8 transactions, file has 7". Bad: "Upload broken".
3.  Steps: numbered, short. Someone who has never seen the app must be able to repeat them.
4.  Expected vs Actual: what should happen, and what did happen. Use real numbers.
5.  Proof: a screenshot or a short screen recording. Save it in the shared folder, name it with the task ID (for example D2-02.png), paste the link.
6.  Pick Severity from the dropdown. If you are unsure, pick one lower and say why in the title.</t>
  </si>
  <si>
    <t xml:space="preserve">6.  GOLDEN RULES</t>
  </si>
  <si>
    <t xml:space="preserve">•  Use only the test site, the test account and the sample files from the /samples page. Never real client data.
•  Never connect a real Gmail, WhatsApp, Zoho or Tally account, never pay with a real card, never message a real person.
•  Update this sheet as you go, not at the end of the day.
•  One problem = one row. Do not bundle five issues into one.
•  Stuck for 15 minutes? Mark the task Blocked, write why in Notes, and message your lead. Then move to the next task.
•  Never delete a row. Wrong entry? Fix the cell, or mark a bug Duplicate.
•  Shared workbook: only edit your own rows. Cream cells only.</t>
  </si>
  <si>
    <t xml:space="preserve">7.  SET-UP  (lead fills this once)</t>
  </si>
  <si>
    <t xml:space="preserve">Test site link</t>
  </si>
  <si>
    <t xml:space="preserve">Lead: paste the link here</t>
  </si>
  <si>
    <t xml:space="preserve">Test login / password</t>
  </si>
  <si>
    <t xml:space="preserve">Lead: paste here, or say where to find it</t>
  </si>
  <si>
    <t xml:space="preserve">Your team lead</t>
  </si>
  <si>
    <t xml:space="preserve">Lead: name and phone or chat</t>
  </si>
  <si>
    <t xml:space="preserve">Shared screenshot folder</t>
  </si>
  <si>
    <t xml:space="preserve">Lead: paste the folder link</t>
  </si>
  <si>
    <t xml:space="preserve">Team (tester names)</t>
  </si>
  <si>
    <t xml:space="preserve">Type names here; they appear in every Tester dropdown.</t>
  </si>
  <si>
    <t xml:space="preserve">Tester 1</t>
  </si>
  <si>
    <t xml:space="preserve">Asha (example)</t>
  </si>
  <si>
    <t xml:space="preserve">Tester 2</t>
  </si>
  <si>
    <t xml:space="preserve">Rahul (example)</t>
  </si>
  <si>
    <t xml:space="preserve">Tester 3</t>
  </si>
  <si>
    <t xml:space="preserve">Tester 4</t>
  </si>
  <si>
    <t xml:space="preserve">Tester 5</t>
  </si>
  <si>
    <t xml:space="preserve">Tester 6</t>
  </si>
  <si>
    <t xml:space="preserve">Tester 7</t>
  </si>
  <si>
    <t xml:space="preserve">Tester 8</t>
  </si>
  <si>
    <t xml:space="preserve">Check-in  ·  start of day</t>
  </si>
  <si>
    <t xml:space="preserve">One row per tester per day. Takes 2 minutes. Do it before you open the app.</t>
  </si>
  <si>
    <t xml:space="preserve">Date</t>
  </si>
  <si>
    <t xml:space="preserve">Tester</t>
  </si>
  <si>
    <t xml:space="preserve">Start time</t>
  </si>
  <si>
    <t xml:space="preserve">Day of plan
(1 to 5)</t>
  </si>
  <si>
    <t xml:space="preserve">Planned
minutes (auto)</t>
  </si>
  <si>
    <t xml:space="preserve">Tasks I will do today (IDs)</t>
  </si>
  <si>
    <t xml:space="preserve">Device and browser</t>
  </si>
  <si>
    <t xml:space="preserve">Anything blocking me?</t>
  </si>
  <si>
    <t xml:space="preserve">EXAMPLE</t>
  </si>
  <si>
    <t xml:space="preserve">Asha</t>
  </si>
  <si>
    <t xml:space="preserve">10:00 AM</t>
  </si>
  <si>
    <t xml:space="preserve">(auto)</t>
  </si>
  <si>
    <t xml:space="preserve">D2-01 to D2-08</t>
  </si>
  <si>
    <t xml:space="preserve">Windows laptop, Chrome</t>
  </si>
  <si>
    <t xml:space="preserve">None. Need the test password for the second account.</t>
  </si>
  <si>
    <t xml:space="preserve">Tasks  ·  Week 1</t>
  </si>
  <si>
    <t xml:space="preserve">Do today's Day in order. Change Status as you go. 'Min' is the time to budget, not a deadline. Each Day is about 2.5 hours.</t>
  </si>
  <si>
    <t xml:space="preserve">ID</t>
  </si>
  <si>
    <t xml:space="preserve">Day</t>
  </si>
  <si>
    <t xml:space="preserve">Task</t>
  </si>
  <si>
    <t xml:space="preserve">Where in the app</t>
  </si>
  <si>
    <t xml:space="preserve">How (steps)</t>
  </si>
  <si>
    <t xml:space="preserve">What should happen</t>
  </si>
  <si>
    <t xml:space="preserve">Min</t>
  </si>
  <si>
    <t xml:space="preserve">Status</t>
  </si>
  <si>
    <t xml:space="preserve">Done on</t>
  </si>
  <si>
    <t xml:space="preserve">Notes / Bug IDs</t>
  </si>
  <si>
    <t xml:space="preserve">D1-01</t>
  </si>
  <si>
    <t xml:space="preserve">Set up your toolkit</t>
  </si>
  <si>
    <t xml:space="preserve">This workbook + your browser</t>
  </si>
  <si>
    <t xml:space="preserve">1. Read the READ ME tab once.
2. Type your name in READ ME &gt; Team.
3. Install Chrome, bookmark the test site, make a folder called Screenshots.</t>
  </si>
  <si>
    <t xml:space="preserve">Your name shows in the Tester dropdown on every sheet</t>
  </si>
  <si>
    <t xml:space="preserve">Not started</t>
  </si>
  <si>
    <t xml:space="preserve">D1-02</t>
  </si>
  <si>
    <t xml:space="preserve">Read the product guide</t>
  </si>
  <si>
    <t xml:space="preserve">Website &gt; /guide</t>
  </si>
  <si>
    <t xml:space="preserve">Read the whole page once. Then add 3 lines to UX Notes: what FynHelp does, in your own words.</t>
  </si>
  <si>
    <t xml:space="preserve">You can explain it to a friend in 20 seconds</t>
  </si>
  <si>
    <t xml:space="preserve">D1-03</t>
  </si>
  <si>
    <t xml:space="preserve">Create your test account</t>
  </si>
  <si>
    <t xml:space="preserve">App &gt; /app &gt; Create account</t>
  </si>
  <si>
    <t xml:space="preserve">Sign up with your test email and a strong password. Sign out. Sign in again. Press Forgot password once.</t>
  </si>
  <si>
    <t xml:space="preserve">Every step works; every message is clear and in plain language</t>
  </si>
  <si>
    <t xml:space="preserve">D1-04</t>
  </si>
  <si>
    <t xml:space="preserve">Set up the firm and first client</t>
  </si>
  <si>
    <t xml:space="preserve">App &gt; first-run steps 2 and 3</t>
  </si>
  <si>
    <t xml:space="preserve">Enter a firm name. Add a client called Sundara Textiles Pvt Ltd.</t>
  </si>
  <si>
    <t xml:space="preserve">You reach the next step; the client appears under Clients</t>
  </si>
  <si>
    <t xml:space="preserve">D1-05</t>
  </si>
  <si>
    <t xml:space="preserve">Click every menu item</t>
  </si>
  <si>
    <t xml:space="preserve">App &gt; left menu</t>
  </si>
  <si>
    <t xml:space="preserve">Open Portfolio, Clients, Documents, Review Queue, Exception Queue, Chaser, MIS and Reports, Settings. Write one line each in UX Notes: its name and what you think it is for.</t>
  </si>
  <si>
    <t xml:space="preserve">8 screens noted; anything empty, broken or confusing is written down</t>
  </si>
  <si>
    <t xml:space="preserve">D1-06</t>
  </si>
  <si>
    <t xml:space="preserve">Practise filing a bug</t>
  </si>
  <si>
    <t xml:space="preserve">Bugs sheet</t>
  </si>
  <si>
    <t xml:space="preserve">Find ANY small thing (typo, odd wording, misalignment). Fill one full row in Bugs, with a screenshot link.</t>
  </si>
  <si>
    <t xml:space="preserve">Your lead can repeat your steps in under 2 minutes</t>
  </si>
  <si>
    <t xml:space="preserve">D1-07</t>
  </si>
  <si>
    <t xml:space="preserve">Phone check</t>
  </si>
  <si>
    <t xml:space="preserve">Your phone's browser</t>
  </si>
  <si>
    <t xml:space="preserve">Open the test site on your phone and sign in. Screenshot two screens.</t>
  </si>
  <si>
    <t xml:space="preserve">Text readable, no sideways scrolling</t>
  </si>
  <si>
    <t xml:space="preserve">D2-01</t>
  </si>
  <si>
    <t xml:space="preserve">Download the sample files</t>
  </si>
  <si>
    <t xml:space="preserve">Website &gt; /samples</t>
  </si>
  <si>
    <t xml:space="preserve">Download the three September 2026 files into one folder: hdfc_statement_sep2026.csv, tally_daybook_sep2026.xml, purchase_register_sep2026.csv.</t>
  </si>
  <si>
    <t xml:space="preserve">3 files saved</t>
  </si>
  <si>
    <t xml:space="preserve">D2-02</t>
  </si>
  <si>
    <t xml:space="preserve">Upload the bank statement</t>
  </si>
  <si>
    <t xml:space="preserve">App &gt; Documents &gt; Upload</t>
  </si>
  <si>
    <t xml:space="preserve">Set the period to September 2026. Upload hdfc_statement_sep2026.csv. Watch the status change.</t>
  </si>
  <si>
    <t xml:space="preserve">7 transactions read; 1 line (the USD Stripe payout) goes to Review</t>
  </si>
  <si>
    <t xml:space="preserve">D2-03</t>
  </si>
  <si>
    <t xml:space="preserve">Upload the Tally day book</t>
  </si>
  <si>
    <t xml:space="preserve">App &gt; Documents</t>
  </si>
  <si>
    <t xml:space="preserve">Upload tally_daybook_sep2026.xml.</t>
  </si>
  <si>
    <t xml:space="preserve">6 transactions read; Recon starts on its own</t>
  </si>
  <si>
    <t xml:space="preserve">D2-04</t>
  </si>
  <si>
    <t xml:space="preserve">Check numbers against the file</t>
  </si>
  <si>
    <t xml:space="preserve">Documents + the CSV in Excel</t>
  </si>
  <si>
    <t xml:space="preserve">Open the CSV in Excel. Pick 3 lines. Compare date, amount and name with what the app shows.</t>
  </si>
  <si>
    <t xml:space="preserve">All 3 match exactly. Any difference is a bug. Closing balance on the statement is 4,86,484.30</t>
  </si>
  <si>
    <t xml:space="preserve">D2-05</t>
  </si>
  <si>
    <t xml:space="preserve">Try bad uploads</t>
  </si>
  <si>
    <t xml:space="preserve">Upload each: (a) the same CSV again, (b) an empty .txt file, (c) a photo (JPG), (d) a file over 25 MB if you can find one.</t>
  </si>
  <si>
    <t xml:space="preserve">(a) not added twice (b) clear message (c) read, or a friendly can't-read message (d) clear size message. No crash or blank screen</t>
  </si>
  <si>
    <t xml:space="preserve">D2-06</t>
  </si>
  <si>
    <t xml:space="preserve">Clear the Review Queue</t>
  </si>
  <si>
    <t xml:space="preserve">App &gt; Review Queue</t>
  </si>
  <si>
    <t xml:space="preserve">Open the USD Stripe payout line. Correct it or discard it. Watch the count.</t>
  </si>
  <si>
    <t xml:space="preserve">The item leaves the queue; count drops by 1</t>
  </si>
  <si>
    <t xml:space="preserve">D2-07</t>
  </si>
  <si>
    <t xml:space="preserve">Filters and search</t>
  </si>
  <si>
    <t xml:space="preserve">Try every option in the Source and Status filters.</t>
  </si>
  <si>
    <t xml:space="preserve">Lists change correctly; nothing vanishes for good</t>
  </si>
  <si>
    <t xml:space="preserve">D2-08</t>
  </si>
  <si>
    <t xml:space="preserve">Save your screenshot trail</t>
  </si>
  <si>
    <t xml:space="preserve">Your Screenshots folder</t>
  </si>
  <si>
    <t xml:space="preserve">One screenshot per result above, named by task ID (D2-02.png ...).</t>
  </si>
  <si>
    <t xml:space="preserve">6 or more files, named by task ID</t>
  </si>
  <si>
    <t xml:space="preserve">D3-01</t>
  </si>
  <si>
    <t xml:space="preserve">Open the client's Recon view</t>
  </si>
  <si>
    <t xml:space="preserve">App &gt; Clients &gt; Sundara Textiles &gt; Recon</t>
  </si>
  <si>
    <t xml:space="preserve">Set the period to September 2026. Read the summary cards.</t>
  </si>
  <si>
    <t xml:space="preserve">5 matched, 2 exceptions (note it if yours differs)</t>
  </si>
  <si>
    <t xml:space="preserve">D3-02</t>
  </si>
  <si>
    <t xml:space="preserve">Resolve an exception: match</t>
  </si>
  <si>
    <t xml:space="preserve">App &gt; Exception Queue</t>
  </si>
  <si>
    <t xml:space="preserve">Open SMS charges 17.70. Match it to the bank-charges voucher, accepting the difference.</t>
  </si>
  <si>
    <t xml:space="preserve">Decision saves; the line leaves the open list</t>
  </si>
  <si>
    <t xml:space="preserve">D3-03</t>
  </si>
  <si>
    <t xml:space="preserve">Resolve an exception: ignore</t>
  </si>
  <si>
    <t xml:space="preserve">Open Cafe Coffee Day. Mark it reconciled elsewhere / ignore, with a reason.</t>
  </si>
  <si>
    <t xml:space="preserve">Line closes; the reason shows in Activity</t>
  </si>
  <si>
    <t xml:space="preserve">D3-04</t>
  </si>
  <si>
    <t xml:space="preserve">Trace matched lines to their source</t>
  </si>
  <si>
    <t xml:space="preserve">Recon &gt; click a matched line</t>
  </si>
  <si>
    <t xml:space="preserve">Open the source of 5 lines. Compare each amount with the CSV or XML.</t>
  </si>
  <si>
    <t xml:space="preserve">Every source equals the file. A mismatch is a Blocker</t>
  </si>
  <si>
    <t xml:space="preserve">D3-05</t>
  </si>
  <si>
    <t xml:space="preserve">Generate the Monthly MIS</t>
  </si>
  <si>
    <t xml:space="preserve">App &gt; MIS and Reports &gt; Generate MIS</t>
  </si>
  <si>
    <t xml:space="preserve">Choose the client, September 2026, Monthly MIS.</t>
  </si>
  <si>
    <t xml:space="preserve">The report appears. Walkthrough result: revenue 1,65,000, expenses 78,515, net 86,484. If yours differs, note which exceptions you decided</t>
  </si>
  <si>
    <t xml:space="preserve">D3-06</t>
  </si>
  <si>
    <t xml:space="preserve">Add the MIS up by hand</t>
  </si>
  <si>
    <t xml:space="preserve">MIS page + a calculator</t>
  </si>
  <si>
    <t xml:space="preserve">Open the revenue source lines and add them yourself.</t>
  </si>
  <si>
    <t xml:space="preserve">Your total equals the screen to the rupee</t>
  </si>
  <si>
    <t xml:space="preserve">D3-07</t>
  </si>
  <si>
    <t xml:space="preserve">Export three ways</t>
  </si>
  <si>
    <t xml:space="preserve">MIS page &gt; Excel, PDF, Print</t>
  </si>
  <si>
    <t xml:space="preserve">Download Excel and PDF; open Print preview. Compare 3 numbers in each with the screen.</t>
  </si>
  <si>
    <t xml:space="preserve">All agree; nothing cut off; the rupee sign shows correctly</t>
  </si>
  <si>
    <t xml:space="preserve">D3-08</t>
  </si>
  <si>
    <t xml:space="preserve">Partner sign-off</t>
  </si>
  <si>
    <t xml:space="preserve">MIS page &gt; Sign off</t>
  </si>
  <si>
    <t xml:space="preserve">Sign off the MIS. Then try to change something.</t>
  </si>
  <si>
    <t xml:space="preserve">Sign-off shows name and date; a clear message if you try to edit</t>
  </si>
  <si>
    <t xml:space="preserve">D4-01</t>
  </si>
  <si>
    <t xml:space="preserve">Create a chase item</t>
  </si>
  <si>
    <t xml:space="preserve">App &gt; Chaser &gt; Create chase item</t>
  </si>
  <si>
    <t xml:space="preserve">For Sundara Textiles: Missing bank statement, your own email and your own phone number.</t>
  </si>
  <si>
    <t xml:space="preserve">Item appears as Open with a due date</t>
  </si>
  <si>
    <t xml:space="preserve">D4-02</t>
  </si>
  <si>
    <t xml:space="preserve">Send an email follow-up</t>
  </si>
  <si>
    <t xml:space="preserve">Chaser &gt; open item &gt; Email</t>
  </si>
  <si>
    <t xml:space="preserve">Press send.</t>
  </si>
  <si>
    <t xml:space="preserve">Clear success message, or a clear note that email is not connected; the timeline records it</t>
  </si>
  <si>
    <t xml:space="preserve">D4-03</t>
  </si>
  <si>
    <t xml:space="preserve">Check the WhatsApp button</t>
  </si>
  <si>
    <t xml:space="preserve">Chaser &gt; open item</t>
  </si>
  <si>
    <t xml:space="preserve">Note what it does: locked, opens a link, or sends from FynHelp. Use only your own number.</t>
  </si>
  <si>
    <t xml:space="preserve">Behaviour matches the plan banner; nothing goes to a stranger</t>
  </si>
  <si>
    <t xml:space="preserve">D4-04</t>
  </si>
  <si>
    <t xml:space="preserve">Close a chase by uploading the file</t>
  </si>
  <si>
    <t xml:space="preserve">Documents + Chaser</t>
  </si>
  <si>
    <t xml:space="preserve">Upload a file for that client. Check whether the chase closes by itself.</t>
  </si>
  <si>
    <t xml:space="preserve">Chase moves to Resolved (log it if not)</t>
  </si>
  <si>
    <t xml:space="preserve">D4-05</t>
  </si>
  <si>
    <t xml:space="preserve">Tour Settings</t>
  </si>
  <si>
    <t xml:space="preserve">App &gt; Settings</t>
  </si>
  <si>
    <t xml:space="preserve">Open every card (Gmail, Zoho Books, Tally Prime, WhatsApp follow-ups, billing). Do NOT connect real accounts. Read each text: does it make sense?</t>
  </si>
  <si>
    <t xml:space="preserve">No broken text or buttons; each card says what it does</t>
  </si>
  <si>
    <t xml:space="preserve">D4-06</t>
  </si>
  <si>
    <t xml:space="preserve">Look at the Tally connector screen</t>
  </si>
  <si>
    <t xml:space="preserve">Settings &gt; Tally Prime &gt; Connect</t>
  </si>
  <si>
    <t xml:space="preserve">Press Connect. A code like FYN-XXXX-XXXX appears with a countdown. Press Copy. Open the client guide link.</t>
  </si>
  <si>
    <t xml:space="preserve">Code shows, copies and counts down; guide opens</t>
  </si>
  <si>
    <t xml:space="preserve">D4-07</t>
  </si>
  <si>
    <t xml:space="preserve">Open a client's Books tab</t>
  </si>
  <si>
    <t xml:space="preserve">Clients &gt; client &gt; Books</t>
  </si>
  <si>
    <t xml:space="preserve">Open it with no Tally linked. Read the message.</t>
  </si>
  <si>
    <t xml:space="preserve">It says what to do next; no errors</t>
  </si>
  <si>
    <t xml:space="preserve">D4-08</t>
  </si>
  <si>
    <t xml:space="preserve">Pricing: website vs app</t>
  </si>
  <si>
    <t xml:space="preserve">Website &gt; /pricing and App &gt; billing</t>
  </si>
  <si>
    <t xml:space="preserve">Compare plan names, prices and limits in both places.</t>
  </si>
  <si>
    <t xml:space="preserve">Identical everywhere; any difference is a bug</t>
  </si>
  <si>
    <t xml:space="preserve">D4-09</t>
  </si>
  <si>
    <t xml:space="preserve">Second browser</t>
  </si>
  <si>
    <t xml:space="preserve">Chrome + Edge, Firefox or Safari</t>
  </si>
  <si>
    <t xml:space="preserve">Repeat a Documents upload and the MIS view in a second browser.</t>
  </si>
  <si>
    <t xml:space="preserve">Same results</t>
  </si>
  <si>
    <t xml:space="preserve">D5-01</t>
  </si>
  <si>
    <t xml:space="preserve">Website sweep</t>
  </si>
  <si>
    <t xml:space="preserve">Home, Pricing, Blog, Guide, Contact, Privacy, Terms</t>
  </si>
  <si>
    <t xml:space="preserve">Click every link and button. Read for typos.</t>
  </si>
  <si>
    <t xml:space="preserve">Every link works; each typo is a Cosmetic bug</t>
  </si>
  <si>
    <t xml:space="preserve">D5-02</t>
  </si>
  <si>
    <t xml:space="preserve">Sign-in protection check</t>
  </si>
  <si>
    <t xml:space="preserve">App &gt; /app sign-in, and /login</t>
  </si>
  <si>
    <t xml:space="preserve">On YOUR OWN test account, enter a wrong password 6 times. Note what you see: a warning, a lock, a captcha, nothing? Then sign in correctly.</t>
  </si>
  <si>
    <t xml:space="preserve">Write exactly what you saw in Notes. Never do this on anyone else's account</t>
  </si>
  <si>
    <t xml:space="preserve">D5-03</t>
  </si>
  <si>
    <t xml:space="preserve">Keyboard only</t>
  </si>
  <si>
    <t xml:space="preserve">Sign-up and Documents</t>
  </si>
  <si>
    <t xml:space="preserve">Use only Tab and Enter. Can you reach and press every button? Is the highlight visible?</t>
  </si>
  <si>
    <t xml:space="preserve">Nothing unreachable; focus always visible</t>
  </si>
  <si>
    <t xml:space="preserve">D5-04</t>
  </si>
  <si>
    <t xml:space="preserve">Zoom and small windows</t>
  </si>
  <si>
    <t xml:space="preserve">Browser zoom 200%, window half-width</t>
  </si>
  <si>
    <t xml:space="preserve">Check Documents and the MIS.</t>
  </si>
  <si>
    <t xml:space="preserve">Nothing overlaps or is cut off</t>
  </si>
  <si>
    <t xml:space="preserve">D5-05</t>
  </si>
  <si>
    <t xml:space="preserve">Speed notes</t>
  </si>
  <si>
    <t xml:space="preserve">Any 5 screens</t>
  </si>
  <si>
    <t xml:space="preserve">Time each load with a phone stopwatch. Log anything over 3 seconds in UX Notes (High impact if over 8).</t>
  </si>
  <si>
    <t xml:space="preserve">5 timings noted</t>
  </si>
  <si>
    <t xml:space="preserve">D5-06</t>
  </si>
  <si>
    <t xml:space="preserve">Retest fixed bugs</t>
  </si>
  <si>
    <t xml:space="preserve">Your lead marks 3 bugs Fixed. Redo your steps. Set Closed or Reopened and say why.</t>
  </si>
  <si>
    <t xml:space="preserve">3 bugs resolved</t>
  </si>
  <si>
    <t xml:space="preserve">D5-07</t>
  </si>
  <si>
    <t xml:space="preserve">Week wrap-up</t>
  </si>
  <si>
    <t xml:space="preserve">UX Notes + Bugs</t>
  </si>
  <si>
    <t xml:space="preserve">Pick your top 5 findings. Put them in Check-out under 'One thing I learned'. Join the 10-minute wrap-up call.</t>
  </si>
  <si>
    <t xml:space="preserve">Lead knows your top 5</t>
  </si>
  <si>
    <t xml:space="preserve">B-01</t>
  </si>
  <si>
    <t xml:space="preserve">Bonus</t>
  </si>
  <si>
    <t xml:space="preserve">Break-it session</t>
  </si>
  <si>
    <t xml:space="preserve">Any one screen</t>
  </si>
  <si>
    <t xml:space="preserve">Spend 20 minutes entering odd things: emoji, very long text, only spaces, blank, negative numbers, a rupee sign.</t>
  </si>
  <si>
    <t xml:space="preserve">No crash; sensible messages</t>
  </si>
  <si>
    <t xml:space="preserve">B-02</t>
  </si>
  <si>
    <t xml:space="preserve">Read the privacy page as a client</t>
  </si>
  <si>
    <t xml:space="preserve">Website &gt; /privacy</t>
  </si>
  <si>
    <t xml:space="preserve">Note anything you would not understand if you were a shop owner.</t>
  </si>
  <si>
    <t xml:space="preserve">UX Notes filled</t>
  </si>
  <si>
    <t xml:space="preserve">B-03</t>
  </si>
  <si>
    <t xml:space="preserve">Hindi and long names</t>
  </si>
  <si>
    <t xml:space="preserve">Clients &gt; Add client</t>
  </si>
  <si>
    <t xml:space="preserve">Add a client named in Hindi, and one with a 100-letter name.</t>
  </si>
  <si>
    <t xml:space="preserve">Saved and shown correctly; no cut-off</t>
  </si>
  <si>
    <t xml:space="preserve">B-04</t>
  </si>
  <si>
    <t xml:space="preserve">Slow internet</t>
  </si>
  <si>
    <t xml:space="preserve">Phone on mobile data, or browser throttling</t>
  </si>
  <si>
    <t xml:space="preserve">Repeat an upload on a slow connection.</t>
  </si>
  <si>
    <t xml:space="preserve">Clear progress or message; no silent failure</t>
  </si>
  <si>
    <t xml:space="preserve">B-05</t>
  </si>
  <si>
    <t xml:space="preserve">The bigger July pack</t>
  </si>
  <si>
    <t xml:space="preserve">Website &gt; /samples &gt; July 2026 walkthrough</t>
  </si>
  <si>
    <t xml:space="preserve">Follow the July 2026 pack steps on the page with a new client.</t>
  </si>
  <si>
    <t xml:space="preserve">Results match the Expect lines on the page</t>
  </si>
  <si>
    <t xml:space="preserve">Bugs  ·  something is wrong or broken</t>
  </si>
  <si>
    <t xml:space="preserve">One problem per row, filled in the moment you see it. IDs fill themselves. Cream cells only; the last column is for your lead.</t>
  </si>
  <si>
    <t xml:space="preserve">ID
(auto)</t>
  </si>
  <si>
    <t xml:space="preserve">Reporter</t>
  </si>
  <si>
    <t xml:space="preserve">Where (screen)</t>
  </si>
  <si>
    <t xml:space="preserve">One-line title</t>
  </si>
  <si>
    <t xml:space="preserve">Steps to reproduce
(1, 2, 3)</t>
  </si>
  <si>
    <t xml:space="preserve">Expected</t>
  </si>
  <si>
    <t xml:space="preserve">Actual</t>
  </si>
  <si>
    <t xml:space="preserve">Screenshot or video link</t>
  </si>
  <si>
    <t xml:space="preserve">Lead's note</t>
  </si>
  <si>
    <t xml:space="preserve">21-Oct</t>
  </si>
  <si>
    <t xml:space="preserve">Documents</t>
  </si>
  <si>
    <t xml:space="preserve">Upload shows 8 transactions, file has 7</t>
  </si>
  <si>
    <t xml:space="preserve">1. Documents &gt; Upload
2. Choose hdfc_statement_sep2026.csv
3. Look at the result card</t>
  </si>
  <si>
    <t xml:space="preserve">7 transactions read, 1 in Review</t>
  </si>
  <si>
    <t xml:space="preserve">Card says 8 transactions read</t>
  </si>
  <si>
    <t xml:space="preserve">New</t>
  </si>
  <si>
    <t xml:space="preserve">Windows, Chrome 130</t>
  </si>
  <si>
    <t xml:space="preserve">link to D2-02.png</t>
  </si>
  <si>
    <t xml:space="preserve">UX Notes  ·  it works, but it felt wrong</t>
  </si>
  <si>
    <t xml:space="preserve">Confusing words, too many clicks, slow, hard on a phone, unclear next step. Say what you expected. No judgement: these shape the product.</t>
  </si>
  <si>
    <t xml:space="preserve">Screen</t>
  </si>
  <si>
    <t xml:space="preserve">What confused me or felt slow</t>
  </si>
  <si>
    <t xml:space="preserve">What I expected</t>
  </si>
  <si>
    <t xml:space="preserve">My idea (optional)</t>
  </si>
  <si>
    <t xml:space="preserve">Impact</t>
  </si>
  <si>
    <t xml:space="preserve">Exception Queue</t>
  </si>
  <si>
    <t xml:space="preserve">I did not know what 'reconciled elsewhere' means.</t>
  </si>
  <si>
    <t xml:space="preserve">A one-line help text beside it.</t>
  </si>
  <si>
    <t xml:space="preserve">Add a small (?) with an example.</t>
  </si>
  <si>
    <t xml:space="preserve">Medium</t>
  </si>
  <si>
    <t xml:space="preserve">Check-out  ·  end of day</t>
  </si>
  <si>
    <t xml:space="preserve">One row per tester per day. Takes 5 minutes. Grey cells fill themselves from your other sheets.</t>
  </si>
  <si>
    <t xml:space="preserve">Start
(auto)</t>
  </si>
  <si>
    <t xml:space="preserve">End time</t>
  </si>
  <si>
    <t xml:space="preserve">Hours
(auto)</t>
  </si>
  <si>
    <t xml:space="preserve">Tasks done today (IDs)</t>
  </si>
  <si>
    <t xml:space="preserve">Not finished, and why</t>
  </si>
  <si>
    <t xml:space="preserve">Bugs filed
(auto)</t>
  </si>
  <si>
    <t xml:space="preserve">UX notes
(auto)</t>
  </si>
  <si>
    <t xml:space="preserve">One thing I learned</t>
  </si>
  <si>
    <t xml:space="preserve">Plan for tomorrow</t>
  </si>
  <si>
    <t xml:space="preserve">Blockers for my lead</t>
  </si>
  <si>
    <t xml:space="preserve">1:00 PM</t>
  </si>
  <si>
    <t xml:space="preserve">D2-01 to D2-07</t>
  </si>
  <si>
    <t xml:space="preserve">D2-08 screenshots: ran out of time</t>
  </si>
  <si>
    <t xml:space="preserve">A duplicate upload is caught by the app, but the message is easy to miss.</t>
  </si>
  <si>
    <t xml:space="preserve">Day 3: Recon and MIS</t>
  </si>
  <si>
    <t xml:space="preserve">None</t>
  </si>
  <si>
    <t xml:space="preserve">Dashboard  ·  for the team lead</t>
  </si>
  <si>
    <t xml:space="preserve">Everything here is calculated. Testers: look, do not type. Colours follow the same rules as the other sheets.</t>
  </si>
  <si>
    <t xml:space="preserve">1.  Task progress by day</t>
  </si>
  <si>
    <t xml:space="preserve">Done</t>
  </si>
  <si>
    <t xml:space="preserve">Blocked</t>
  </si>
  <si>
    <t xml:space="preserve">Planned min</t>
  </si>
  <si>
    <t xml:space="preserve">Done min</t>
  </si>
  <si>
    <t xml:space="preserve">% done</t>
  </si>
  <si>
    <t xml:space="preserve">Days 1 to 5 total</t>
  </si>
  <si>
    <t xml:space="preserve">2.  Bugs: severity by status</t>
  </si>
  <si>
    <t xml:space="preserve">Seen</t>
  </si>
  <si>
    <t xml:space="preserve">Fixed</t>
  </si>
  <si>
    <t xml:space="preserve">Closed</t>
  </si>
  <si>
    <t xml:space="preserve">Reopened</t>
  </si>
  <si>
    <t xml:space="preserve">Duplicate</t>
  </si>
  <si>
    <t xml:space="preserve">Total</t>
  </si>
  <si>
    <t xml:space="preserve">All</t>
  </si>
  <si>
    <t xml:space="preserve">Red = Blocker or Major bugs still New, or any bug Reopened. These need a human today.</t>
  </si>
  <si>
    <t xml:space="preserve">3.  Per tester</t>
  </si>
  <si>
    <t xml:space="preserve">Check-ins</t>
  </si>
  <si>
    <t xml:space="preserve">Check-outs</t>
  </si>
  <si>
    <t xml:space="preserve">Hours</t>
  </si>
  <si>
    <t xml:space="preserve">Blocker / Major</t>
  </si>
  <si>
    <t xml:space="preserve">UX notes</t>
  </si>
  <si>
    <t xml:space="preserve">Tasks done</t>
  </si>
  <si>
    <t xml:space="preserve">Amber on check-ins or check-outs = a day was checked in but not out (or the other way round). Tasks done counts a tester's name written in the task's Notes column.</t>
  </si>
  <si>
    <t xml:space="preserve">Task status</t>
  </si>
  <si>
    <t xml:space="preserve">Bug status</t>
  </si>
  <si>
    <t xml:space="preserve">High</t>
  </si>
  <si>
    <t xml:space="preserve">In progress</t>
  </si>
  <si>
    <t xml:space="preserve">Low</t>
  </si>
  <si>
    <t xml:space="preserve">Skipped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</si>
</sst>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h:mm\ AM/PM"/>
    <numFmt numFmtId="167" formatCode="dd\-mmm"/>
    <numFmt numFmtId="168" formatCode="0.0"/>
    <numFmt numFmtId="169" formatCode="General"/>
    <numFmt numFmtId="170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8A1E1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8A1E18"/>
      <name val="Arial"/>
      <family val="0"/>
      <charset val="1"/>
    </font>
    <font>
      <b val="true"/>
      <sz val="10"/>
      <color rgb="FF2A0F0C"/>
      <name val="Arial"/>
      <family val="0"/>
      <charset val="1"/>
    </font>
    <font>
      <sz val="10"/>
      <color rgb="FF2A0F0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7B6F69"/>
      <name val="Arial"/>
      <family val="0"/>
      <charset val="1"/>
    </font>
    <font>
      <b val="true"/>
      <sz val="10"/>
      <color rgb="FF7A3E0C"/>
      <name val="Arial"/>
      <family val="0"/>
      <charset val="1"/>
    </font>
    <font>
      <b val="true"/>
      <sz val="10"/>
      <color rgb="FF2F6B4F"/>
      <name val="Arial"/>
      <family val="0"/>
      <charset val="1"/>
    </font>
    <font>
      <i val="true"/>
      <sz val="10"/>
      <color rgb="FF7B6F69"/>
      <name val="Arial"/>
      <family val="0"/>
      <charset val="1"/>
    </font>
    <font>
      <b val="true"/>
      <sz val="11"/>
      <color rgb="FF8A1E18"/>
      <name val="Arial"/>
      <family val="0"/>
      <charset val="1"/>
    </font>
    <font>
      <b val="true"/>
      <i val="true"/>
      <sz val="10"/>
      <color rgb="FF7A3E0C"/>
      <name val="Arial"/>
      <family val="0"/>
      <charset val="1"/>
    </font>
    <font>
      <i val="true"/>
      <sz val="10"/>
      <color rgb="FF7A3E0C"/>
      <name val="Arial"/>
      <family val="0"/>
      <charset val="1"/>
    </font>
    <font>
      <b val="true"/>
      <sz val="12"/>
      <color rgb="FF8A1E18"/>
      <name val="Arial"/>
      <family val="0"/>
      <charset val="1"/>
    </font>
    <font>
      <i val="true"/>
      <sz val="9"/>
      <color rgb="FF7B6F6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D8302A"/>
        <bgColor rgb="FF993366"/>
      </patternFill>
    </fill>
    <fill>
      <patternFill patternType="solid">
        <fgColor rgb="FFFCEEE4"/>
        <bgColor rgb="FFFBF1EB"/>
      </patternFill>
    </fill>
    <fill>
      <patternFill patternType="solid">
        <fgColor rgb="FF8A1E18"/>
        <bgColor rgb="FF800000"/>
      </patternFill>
    </fill>
    <fill>
      <patternFill patternType="solid">
        <fgColor rgb="FFF8DCCB"/>
        <bgColor rgb="FFF8D7D3"/>
      </patternFill>
    </fill>
    <fill>
      <patternFill patternType="solid">
        <fgColor rgb="FFFFF8F3"/>
        <bgColor rgb="FFFBF1EB"/>
      </patternFill>
    </fill>
    <fill>
      <patternFill patternType="solid">
        <fgColor rgb="FFF1ECE8"/>
        <bgColor rgb="FFEFE9E4"/>
      </patternFill>
    </fill>
    <fill>
      <patternFill patternType="solid">
        <fgColor rgb="FFDCEBE2"/>
        <bgColor rgb="FFEFE9E4"/>
      </patternFill>
    </fill>
    <fill>
      <patternFill patternType="solid">
        <fgColor rgb="FFFCEBD9"/>
        <bgColor rgb="FFFCEEE4"/>
      </patternFill>
    </fill>
    <fill>
      <patternFill patternType="solid">
        <fgColor rgb="FFF8D7D3"/>
        <bgColor rgb="FFF8DCCB"/>
      </patternFill>
    </fill>
    <fill>
      <patternFill patternType="solid">
        <fgColor rgb="FFEFE9E4"/>
        <bgColor rgb="FFF1ECE8"/>
      </patternFill>
    </fill>
    <fill>
      <patternFill patternType="solid">
        <fgColor rgb="FFFFFFFF"/>
        <bgColor rgb="FFFFF8F3"/>
      </patternFill>
    </fill>
    <fill>
      <patternFill patternType="solid">
        <fgColor rgb="FFFBF1EB"/>
        <bgColor rgb="FFFCEEE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3D6CD"/>
      </left>
      <right style="thin">
        <color rgb="FFE3D6CD"/>
      </right>
      <top style="thin">
        <color rgb="FFE3D6CD"/>
      </top>
      <bottom style="thin">
        <color rgb="FFE3D6CD"/>
      </bottom>
      <diagonal/>
    </border>
    <border diagonalUp="false" diagonalDown="false">
      <left style="thin">
        <color rgb="FFE3D6CD"/>
      </left>
      <right style="thin">
        <color rgb="FFE3D6CD"/>
      </right>
      <top style="medium">
        <color rgb="FF8A1E18"/>
      </top>
      <bottom style="thin">
        <color rgb="FFE3D6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3" fillId="8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1" fillId="11" borderId="1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6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4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5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8A1E18"/>
          <bgColor rgb="FF000000"/>
        </patternFill>
      </fill>
    </dxf>
    <dxf>
      <fill>
        <patternFill patternType="solid">
          <fgColor rgb="FFF8DCCB"/>
          <bgColor rgb="FF000000"/>
        </patternFill>
      </fill>
    </dxf>
    <dxf>
      <fill>
        <patternFill patternType="solid">
          <fgColor rgb="FFFFF8F3"/>
          <bgColor rgb="FF000000"/>
        </patternFill>
      </fill>
    </dxf>
    <dxf>
      <fill>
        <patternFill patternType="solid">
          <fgColor rgb="FF2A0F0C"/>
          <bgColor rgb="FF000000"/>
        </patternFill>
      </fill>
    </dxf>
    <dxf>
      <fill>
        <patternFill patternType="solid">
          <fgColor rgb="FF7A3E0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1ECE8"/>
          <bgColor rgb="FF000000"/>
        </patternFill>
      </fill>
    </dxf>
    <dxf>
      <fill>
        <patternFill patternType="solid">
          <fgColor rgb="FF7B6F69"/>
          <bgColor rgb="FF000000"/>
        </patternFill>
      </fill>
    </dxf>
    <dxf>
      <fill>
        <patternFill patternType="solid">
          <fgColor rgb="FFFBF1EB"/>
          <bgColor rgb="FF000000"/>
        </patternFill>
      </fill>
    </dxf>
    <dxf>
      <fill>
        <patternFill patternType="solid">
          <fgColor rgb="FFFCEEE4"/>
          <bgColor rgb="FF000000"/>
        </patternFill>
      </fill>
    </dxf>
    <dxf>
      <fill>
        <patternFill>
          <bgColor rgb="FFFBF1EB"/>
        </patternFill>
      </fill>
    </dxf>
    <dxf>
      <fill>
        <patternFill>
          <bgColor rgb="FFFCEEE4"/>
        </patternFill>
      </fill>
    </dxf>
    <dxf>
      <font>
        <name val="Arial"/>
        <charset val="1"/>
        <family val="0"/>
        <strike val="0"/>
        <color rgb="FF7B6F69"/>
      </font>
      <fill>
        <patternFill>
          <bgColor rgb="FFF1ECE8"/>
        </patternFill>
      </fill>
    </dxf>
    <dxf>
      <font>
        <name val="Arial"/>
        <charset val="1"/>
        <family val="0"/>
        <b val="1"/>
        <strike val="0"/>
        <color rgb="FF7A3E0C"/>
      </font>
      <fill>
        <patternFill>
          <bgColor rgb="FFFCEBD9"/>
        </patternFill>
      </fill>
    </dxf>
    <dxf>
      <font>
        <name val="Arial"/>
        <charset val="1"/>
        <family val="0"/>
        <b val="1"/>
        <strike val="0"/>
        <color rgb="FF2F6B4F"/>
      </font>
      <fill>
        <patternFill>
          <bgColor rgb="FFDCEBE2"/>
        </patternFill>
      </fill>
    </dxf>
    <dxf>
      <font>
        <name val="Arial"/>
        <charset val="1"/>
        <family val="0"/>
        <b val="1"/>
        <strike val="0"/>
        <color rgb="FF8A1E18"/>
      </font>
      <fill>
        <patternFill>
          <bgColor rgb="FFF8D7D3"/>
        </patternFill>
      </fill>
    </dxf>
    <dxf>
      <font>
        <name val="Arial"/>
        <charset val="1"/>
        <family val="0"/>
        <strike val="1"/>
        <color rgb="FF7B6F69"/>
      </font>
      <fill>
        <patternFill>
          <bgColor rgb="FFEFE9E4"/>
        </patternFill>
      </fill>
    </dxf>
    <dxf>
      <font>
        <name val="Arial"/>
        <charset val="1"/>
        <family val="0"/>
        <b val="1"/>
        <strike val="0"/>
        <color rgb="FFFFFFFF"/>
      </font>
      <fill>
        <patternFill>
          <bgColor rgb="FF8A1E18"/>
        </patternFill>
      </fill>
    </dxf>
    <dxf>
      <font>
        <name val="Arial"/>
        <charset val="1"/>
        <family val="0"/>
        <b val="1"/>
        <strike val="0"/>
        <color rgb="FFFFFFFF"/>
      </font>
      <fill>
        <patternFill>
          <bgColor rgb="FFD8302A"/>
        </patternFill>
      </fill>
    </dxf>
    <dxf>
      <font>
        <name val="Arial"/>
        <charset val="1"/>
        <family val="0"/>
        <strike val="0"/>
        <color rgb="FF7B6F69"/>
      </font>
      <fill>
        <patternFill>
          <bgColor rgb="FFEFE9E4"/>
        </patternFill>
      </fill>
    </dxf>
    <dxf>
      <font>
        <name val="Arial"/>
        <charset val="1"/>
        <family val="0"/>
        <strike val="0"/>
        <color rgb="FF7A3E0C"/>
      </font>
      <fill>
        <patternFill>
          <bgColor rgb="FFF8DCCB"/>
        </patternFill>
      </fill>
    </dxf>
    <dxf>
      <font>
        <name val="Arial"/>
        <charset val="1"/>
        <family val="0"/>
        <b val="1"/>
        <strike val="0"/>
        <color rgb="FF2F6B4F"/>
      </font>
      <fill>
        <patternFill>
          <bgColor rgb="FFFCEEE4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8A1E18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D8302A"/>
        </patternFill>
      </fill>
    </dxf>
    <dxf>
      <font>
        <name val="Arial"/>
        <charset val="1"/>
        <family val="0"/>
        <b val="1"/>
        <color rgb="FF2F6B4F"/>
      </font>
      <fill>
        <patternFill>
          <bgColor rgb="FFDCEBE2"/>
        </patternFill>
      </fill>
    </dxf>
    <dxf>
      <font>
        <name val="Arial"/>
        <charset val="1"/>
        <family val="0"/>
        <b val="1"/>
        <color rgb="FF7A3E0C"/>
      </font>
      <fill>
        <patternFill>
          <bgColor rgb="FFFCEBD9"/>
        </patternFill>
      </fill>
    </dxf>
    <dxf>
      <font>
        <name val="Arial"/>
        <charset val="1"/>
        <family val="0"/>
        <b val="1"/>
        <color rgb="FF8A1E18"/>
      </font>
      <fill>
        <patternFill>
          <bgColor rgb="FFF8D7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A1E18"/>
      <rgbColor rgb="FF008000"/>
      <rgbColor rgb="FF000080"/>
      <rgbColor rgb="FF808000"/>
      <rgbColor rgb="FF800080"/>
      <rgbColor rgb="FF2F6B4F"/>
      <rgbColor rgb="FFF8D7D3"/>
      <rgbColor rgb="FF7B6F69"/>
      <rgbColor rgb="FF9999FF"/>
      <rgbColor rgb="FFD8302A"/>
      <rgbColor rgb="FFFFF8F3"/>
      <rgbColor rgb="FFF1ECE8"/>
      <rgbColor rgb="FF660066"/>
      <rgbColor rgb="FFFF8080"/>
      <rgbColor rgb="FF0066CC"/>
      <rgbColor rgb="FFE3D6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9E4"/>
      <rgbColor rgb="FFDCEBE2"/>
      <rgbColor rgb="FFFCEBD9"/>
      <rgbColor rgb="FFFCEEE4"/>
      <rgbColor rgb="FFFBF1EB"/>
      <rgbColor rgb="FFCC99FF"/>
      <rgbColor rgb="FFF8DC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A0F0C"/>
      <rgbColor rgb="FF7A3E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302A"/>
    <pageSetUpPr fitToPage="true"/>
  </sheetPr>
  <dimension ref="A1:F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52"/>
    <col collapsed="false" customWidth="true" hidden="false" outlineLevel="0" max="6" min="6" style="0" width="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1.75" hidden="false" customHeight="true" outlineLevel="0" collapsed="false">
      <c r="B4" s="3" t="s">
        <v>2</v>
      </c>
      <c r="C4" s="3"/>
      <c r="D4" s="3"/>
      <c r="E4" s="3"/>
    </row>
    <row r="5" customFormat="false" ht="15" hidden="false" customHeight="false" outlineLevel="0" collapsed="false">
      <c r="B5" s="4" t="s">
        <v>3</v>
      </c>
      <c r="C5" s="4" t="s">
        <v>4</v>
      </c>
      <c r="D5" s="4" t="s">
        <v>5</v>
      </c>
      <c r="E5" s="4" t="s">
        <v>6</v>
      </c>
    </row>
    <row r="6" customFormat="false" ht="33.75" hidden="false" customHeight="true" outlineLevel="0" collapsed="false">
      <c r="B6" s="5" t="s">
        <v>7</v>
      </c>
      <c r="C6" s="6" t="s">
        <v>8</v>
      </c>
      <c r="D6" s="6" t="s">
        <v>9</v>
      </c>
      <c r="E6" s="6" t="s">
        <v>10</v>
      </c>
    </row>
    <row r="7" customFormat="false" ht="48.75" hidden="false" customHeight="true" outlineLevel="0" collapsed="false">
      <c r="B7" s="5" t="s">
        <v>11</v>
      </c>
      <c r="C7" s="6" t="s">
        <v>12</v>
      </c>
      <c r="D7" s="6" t="s">
        <v>13</v>
      </c>
      <c r="E7" s="6" t="s">
        <v>14</v>
      </c>
    </row>
    <row r="8" customFormat="false" ht="33.75" hidden="false" customHeight="true" outlineLevel="0" collapsed="false">
      <c r="B8" s="5" t="s">
        <v>15</v>
      </c>
      <c r="C8" s="6" t="s">
        <v>16</v>
      </c>
      <c r="D8" s="6" t="s">
        <v>17</v>
      </c>
      <c r="E8" s="6" t="s">
        <v>18</v>
      </c>
    </row>
    <row r="9" customFormat="false" ht="33.75" hidden="false" customHeight="true" outlineLevel="0" collapsed="false">
      <c r="B9" s="5" t="s">
        <v>19</v>
      </c>
      <c r="C9" s="6" t="s">
        <v>20</v>
      </c>
      <c r="D9" s="6" t="s">
        <v>21</v>
      </c>
      <c r="E9" s="6" t="s">
        <v>22</v>
      </c>
    </row>
    <row r="10" customFormat="false" ht="33.75" hidden="false" customHeight="true" outlineLevel="0" collapsed="false">
      <c r="B10" s="5" t="s">
        <v>23</v>
      </c>
      <c r="C10" s="6" t="s">
        <v>24</v>
      </c>
      <c r="D10" s="6" t="s">
        <v>25</v>
      </c>
      <c r="E10" s="6" t="s">
        <v>26</v>
      </c>
    </row>
    <row r="11" customFormat="false" ht="33.75" hidden="false" customHeight="true" outlineLevel="0" collapsed="false">
      <c r="B11" s="5" t="s">
        <v>27</v>
      </c>
      <c r="C11" s="6" t="s">
        <v>28</v>
      </c>
      <c r="D11" s="6" t="s">
        <v>29</v>
      </c>
      <c r="E11" s="6" t="s">
        <v>30</v>
      </c>
    </row>
    <row r="13" customFormat="false" ht="21.75" hidden="false" customHeight="true" outlineLevel="0" collapsed="false">
      <c r="B13" s="3" t="s">
        <v>31</v>
      </c>
      <c r="C13" s="3"/>
      <c r="D13" s="3"/>
      <c r="E13" s="3"/>
    </row>
    <row r="14" customFormat="false" ht="15" hidden="false" customHeight="true" outlineLevel="0" collapsed="false">
      <c r="B14" s="4" t="s">
        <v>32</v>
      </c>
      <c r="C14" s="4" t="s">
        <v>33</v>
      </c>
      <c r="D14" s="4" t="s">
        <v>34</v>
      </c>
      <c r="E14" s="4"/>
    </row>
    <row r="15" customFormat="false" ht="48.75" hidden="false" customHeight="true" outlineLevel="0" collapsed="false">
      <c r="B15" s="5" t="s">
        <v>35</v>
      </c>
      <c r="C15" s="6" t="s">
        <v>16</v>
      </c>
      <c r="D15" s="6" t="s">
        <v>36</v>
      </c>
      <c r="E15" s="6"/>
    </row>
    <row r="16" customFormat="false" ht="33.75" hidden="false" customHeight="true" outlineLevel="0" collapsed="false">
      <c r="B16" s="5" t="s">
        <v>37</v>
      </c>
      <c r="C16" s="6" t="s">
        <v>20</v>
      </c>
      <c r="D16" s="6" t="s">
        <v>38</v>
      </c>
      <c r="E16" s="6"/>
    </row>
    <row r="17" customFormat="false" ht="33.75" hidden="false" customHeight="true" outlineLevel="0" collapsed="false">
      <c r="B17" s="5" t="s">
        <v>39</v>
      </c>
      <c r="C17" s="6" t="s">
        <v>16</v>
      </c>
      <c r="D17" s="6" t="s">
        <v>40</v>
      </c>
      <c r="E17" s="6"/>
    </row>
    <row r="19" customFormat="false" ht="21.75" hidden="false" customHeight="true" outlineLevel="0" collapsed="false">
      <c r="B19" s="3" t="s">
        <v>41</v>
      </c>
      <c r="C19" s="3"/>
      <c r="D19" s="3"/>
      <c r="E19" s="3"/>
    </row>
    <row r="20" customFormat="false" ht="19.5" hidden="false" customHeight="true" outlineLevel="0" collapsed="false">
      <c r="B20" s="7" t="s">
        <v>42</v>
      </c>
      <c r="C20" s="8" t="s">
        <v>43</v>
      </c>
      <c r="D20" s="8"/>
      <c r="E20" s="8"/>
    </row>
    <row r="21" customFormat="false" ht="19.5" hidden="false" customHeight="true" outlineLevel="0" collapsed="false">
      <c r="B21" s="9" t="s">
        <v>44</v>
      </c>
      <c r="C21" s="8" t="s">
        <v>45</v>
      </c>
      <c r="D21" s="8"/>
      <c r="E21" s="8"/>
    </row>
    <row r="22" customFormat="false" ht="19.5" hidden="false" customHeight="true" outlineLevel="0" collapsed="false">
      <c r="B22" s="10" t="s">
        <v>46</v>
      </c>
      <c r="C22" s="8" t="s">
        <v>47</v>
      </c>
      <c r="D22" s="8"/>
      <c r="E22" s="8"/>
    </row>
    <row r="23" customFormat="false" ht="19.5" hidden="false" customHeight="true" outlineLevel="0" collapsed="false">
      <c r="B23" s="11" t="s">
        <v>48</v>
      </c>
      <c r="C23" s="8" t="s">
        <v>49</v>
      </c>
      <c r="D23" s="8"/>
      <c r="E23" s="8"/>
    </row>
    <row r="24" customFormat="false" ht="19.5" hidden="false" customHeight="true" outlineLevel="0" collapsed="false">
      <c r="B24" s="12" t="s">
        <v>50</v>
      </c>
      <c r="C24" s="8" t="s">
        <v>51</v>
      </c>
      <c r="D24" s="8"/>
      <c r="E24" s="8"/>
    </row>
    <row r="25" customFormat="false" ht="19.5" hidden="false" customHeight="true" outlineLevel="0" collapsed="false">
      <c r="B25" s="13" t="s">
        <v>52</v>
      </c>
      <c r="C25" s="8" t="s">
        <v>53</v>
      </c>
      <c r="D25" s="8"/>
      <c r="E25" s="8"/>
    </row>
    <row r="26" customFormat="false" ht="19.5" hidden="false" customHeight="true" outlineLevel="0" collapsed="false">
      <c r="B26" s="14" t="s">
        <v>54</v>
      </c>
      <c r="C26" s="8" t="s">
        <v>55</v>
      </c>
      <c r="D26" s="8"/>
      <c r="E26" s="8"/>
    </row>
    <row r="27" customFormat="false" ht="19.5" hidden="false" customHeight="true" outlineLevel="0" collapsed="false">
      <c r="B27" s="15" t="s">
        <v>56</v>
      </c>
      <c r="C27" s="8" t="s">
        <v>57</v>
      </c>
      <c r="D27" s="8"/>
      <c r="E27" s="8"/>
    </row>
    <row r="28" customFormat="false" ht="19.5" hidden="false" customHeight="true" outlineLevel="0" collapsed="false">
      <c r="B28" s="7" t="s">
        <v>58</v>
      </c>
      <c r="C28" s="8" t="s">
        <v>59</v>
      </c>
      <c r="D28" s="8"/>
      <c r="E28" s="8"/>
    </row>
    <row r="29" customFormat="false" ht="19.5" hidden="false" customHeight="true" outlineLevel="0" collapsed="false">
      <c r="B29" s="16" t="s">
        <v>60</v>
      </c>
      <c r="C29" s="8" t="s">
        <v>61</v>
      </c>
      <c r="D29" s="8"/>
      <c r="E29" s="8"/>
    </row>
    <row r="31" customFormat="false" ht="21.75" hidden="false" customHeight="true" outlineLevel="0" collapsed="false">
      <c r="B31" s="3" t="s">
        <v>62</v>
      </c>
      <c r="C31" s="3"/>
      <c r="D31" s="3"/>
      <c r="E31" s="3"/>
    </row>
    <row r="32" customFormat="false" ht="15" hidden="false" customHeight="true" outlineLevel="0" collapsed="false">
      <c r="B32" s="4" t="s">
        <v>63</v>
      </c>
      <c r="C32" s="4" t="s">
        <v>64</v>
      </c>
      <c r="D32" s="4" t="s">
        <v>65</v>
      </c>
      <c r="E32" s="4"/>
    </row>
    <row r="33" customFormat="false" ht="48.75" hidden="false" customHeight="true" outlineLevel="0" collapsed="false">
      <c r="B33" s="17" t="s">
        <v>66</v>
      </c>
      <c r="C33" s="6" t="s">
        <v>67</v>
      </c>
      <c r="D33" s="6" t="s">
        <v>68</v>
      </c>
      <c r="E33" s="6"/>
    </row>
    <row r="34" customFormat="false" ht="33.75" hidden="false" customHeight="true" outlineLevel="0" collapsed="false">
      <c r="B34" s="18" t="s">
        <v>69</v>
      </c>
      <c r="C34" s="6" t="s">
        <v>70</v>
      </c>
      <c r="D34" s="6" t="s">
        <v>71</v>
      </c>
      <c r="E34" s="6"/>
    </row>
    <row r="35" customFormat="false" ht="33.75" hidden="false" customHeight="true" outlineLevel="0" collapsed="false">
      <c r="B35" s="19" t="s">
        <v>72</v>
      </c>
      <c r="C35" s="6" t="s">
        <v>73</v>
      </c>
      <c r="D35" s="6" t="s">
        <v>74</v>
      </c>
      <c r="E35" s="6"/>
    </row>
    <row r="36" customFormat="false" ht="18.75" hidden="false" customHeight="true" outlineLevel="0" collapsed="false">
      <c r="B36" s="20" t="s">
        <v>75</v>
      </c>
      <c r="C36" s="6" t="s">
        <v>76</v>
      </c>
      <c r="D36" s="6" t="s">
        <v>77</v>
      </c>
      <c r="E36" s="6"/>
    </row>
    <row r="38" customFormat="false" ht="21.75" hidden="false" customHeight="true" outlineLevel="0" collapsed="false">
      <c r="B38" s="3" t="s">
        <v>78</v>
      </c>
      <c r="C38" s="3"/>
      <c r="D38" s="3"/>
      <c r="E38" s="3"/>
    </row>
    <row r="39" customFormat="false" ht="117.75" hidden="false" customHeight="true" outlineLevel="0" collapsed="false">
      <c r="B39" s="21" t="s">
        <v>79</v>
      </c>
      <c r="C39" s="21"/>
      <c r="D39" s="21"/>
      <c r="E39" s="21"/>
    </row>
    <row r="41" customFormat="false" ht="21.75" hidden="false" customHeight="true" outlineLevel="0" collapsed="false">
      <c r="B41" s="3" t="s">
        <v>80</v>
      </c>
      <c r="C41" s="3"/>
      <c r="D41" s="3"/>
      <c r="E41" s="3"/>
    </row>
    <row r="42" customFormat="false" ht="120" hidden="false" customHeight="true" outlineLevel="0" collapsed="false">
      <c r="B42" s="21" t="s">
        <v>81</v>
      </c>
      <c r="C42" s="21"/>
      <c r="D42" s="21"/>
      <c r="E42" s="21"/>
    </row>
    <row r="44" customFormat="false" ht="21.75" hidden="false" customHeight="true" outlineLevel="0" collapsed="false">
      <c r="B44" s="3" t="s">
        <v>82</v>
      </c>
      <c r="C44" s="3"/>
      <c r="D44" s="3"/>
      <c r="E44" s="3"/>
    </row>
    <row r="45" customFormat="false" ht="21.75" hidden="false" customHeight="true" outlineLevel="0" collapsed="false">
      <c r="B45" s="22" t="s">
        <v>83</v>
      </c>
      <c r="C45" s="23" t="s">
        <v>84</v>
      </c>
      <c r="D45" s="23"/>
      <c r="E45" s="23"/>
    </row>
    <row r="46" customFormat="false" ht="21.75" hidden="false" customHeight="true" outlineLevel="0" collapsed="false">
      <c r="B46" s="22" t="s">
        <v>85</v>
      </c>
      <c r="C46" s="23" t="s">
        <v>86</v>
      </c>
      <c r="D46" s="23"/>
      <c r="E46" s="23"/>
    </row>
    <row r="47" customFormat="false" ht="21.75" hidden="false" customHeight="true" outlineLevel="0" collapsed="false">
      <c r="B47" s="22" t="s">
        <v>87</v>
      </c>
      <c r="C47" s="23" t="s">
        <v>88</v>
      </c>
      <c r="D47" s="23"/>
      <c r="E47" s="23"/>
    </row>
    <row r="48" customFormat="false" ht="21.75" hidden="false" customHeight="true" outlineLevel="0" collapsed="false">
      <c r="B48" s="22" t="s">
        <v>89</v>
      </c>
      <c r="C48" s="23" t="s">
        <v>90</v>
      </c>
      <c r="D48" s="23"/>
      <c r="E48" s="23"/>
    </row>
    <row r="50" customFormat="false" ht="15" hidden="false" customHeight="false" outlineLevel="0" collapsed="false">
      <c r="B50" s="24" t="s">
        <v>91</v>
      </c>
      <c r="C50" s="25" t="s">
        <v>92</v>
      </c>
    </row>
    <row r="51" customFormat="false" ht="18" hidden="false" customHeight="true" outlineLevel="0" collapsed="false">
      <c r="B51" s="26" t="s">
        <v>93</v>
      </c>
      <c r="C51" s="27" t="s">
        <v>94</v>
      </c>
    </row>
    <row r="52" customFormat="false" ht="18" hidden="false" customHeight="true" outlineLevel="0" collapsed="false">
      <c r="B52" s="26" t="s">
        <v>95</v>
      </c>
      <c r="C52" s="27" t="s">
        <v>96</v>
      </c>
    </row>
    <row r="53" customFormat="false" ht="18" hidden="false" customHeight="true" outlineLevel="0" collapsed="false">
      <c r="B53" s="26" t="s">
        <v>97</v>
      </c>
      <c r="C53" s="27"/>
    </row>
    <row r="54" customFormat="false" ht="18" hidden="false" customHeight="true" outlineLevel="0" collapsed="false">
      <c r="B54" s="26" t="s">
        <v>98</v>
      </c>
      <c r="C54" s="27"/>
    </row>
    <row r="55" customFormat="false" ht="18" hidden="false" customHeight="true" outlineLevel="0" collapsed="false">
      <c r="B55" s="26" t="s">
        <v>99</v>
      </c>
      <c r="C55" s="27"/>
    </row>
    <row r="56" customFormat="false" ht="18" hidden="false" customHeight="true" outlineLevel="0" collapsed="false">
      <c r="B56" s="26" t="s">
        <v>100</v>
      </c>
      <c r="C56" s="27"/>
    </row>
    <row r="57" customFormat="false" ht="18" hidden="false" customHeight="true" outlineLevel="0" collapsed="false">
      <c r="B57" s="26" t="s">
        <v>101</v>
      </c>
      <c r="C57" s="27"/>
    </row>
    <row r="58" customFormat="false" ht="18" hidden="false" customHeight="true" outlineLevel="0" collapsed="false">
      <c r="B58" s="26" t="s">
        <v>102</v>
      </c>
      <c r="C58" s="27"/>
    </row>
  </sheetData>
  <mergeCells count="34">
    <mergeCell ref="A1:F1"/>
    <mergeCell ref="A2:F2"/>
    <mergeCell ref="B4:E4"/>
    <mergeCell ref="B13:E13"/>
    <mergeCell ref="D14:E14"/>
    <mergeCell ref="D15:E15"/>
    <mergeCell ref="D16:E16"/>
    <mergeCell ref="D17:E17"/>
    <mergeCell ref="B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B31:E31"/>
    <mergeCell ref="D32:E32"/>
    <mergeCell ref="D33:E33"/>
    <mergeCell ref="D34:E34"/>
    <mergeCell ref="D35:E35"/>
    <mergeCell ref="D36:E36"/>
    <mergeCell ref="B38:E38"/>
    <mergeCell ref="B39:E39"/>
    <mergeCell ref="B41:E41"/>
    <mergeCell ref="B42:E42"/>
    <mergeCell ref="B44:E44"/>
    <mergeCell ref="C45:E45"/>
    <mergeCell ref="C46:E46"/>
    <mergeCell ref="C47:E47"/>
    <mergeCell ref="C48:E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4F"/>
    <pageSetUpPr fitToPage="true"/>
  </sheetPr>
  <dimension ref="A1:H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4" min="3" style="0" width="11"/>
    <col collapsed="false" customWidth="true" hidden="false" outlineLevel="0" max="5" min="5" style="0" width="13"/>
    <col collapsed="false" customWidth="true" hidden="false" outlineLevel="0" max="6" min="6" style="0" width="34"/>
    <col collapsed="false" customWidth="true" hidden="false" outlineLevel="0" max="7" min="7" style="0" width="22"/>
    <col collapsed="false" customWidth="true" hidden="false" outlineLevel="0" max="8" min="8" style="0" width="40"/>
  </cols>
  <sheetData>
    <row r="1" customFormat="false" ht="30" hidden="false" customHeight="true" outlineLevel="0" collapsed="false">
      <c r="A1" s="1" t="s">
        <v>103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104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28" t="s">
        <v>105</v>
      </c>
      <c r="B4" s="28" t="s">
        <v>106</v>
      </c>
      <c r="C4" s="28" t="s">
        <v>107</v>
      </c>
      <c r="D4" s="28" t="s">
        <v>108</v>
      </c>
      <c r="E4" s="28" t="s">
        <v>109</v>
      </c>
      <c r="F4" s="28" t="s">
        <v>110</v>
      </c>
      <c r="G4" s="28" t="s">
        <v>111</v>
      </c>
      <c r="H4" s="28" t="s">
        <v>112</v>
      </c>
    </row>
    <row r="5" customFormat="false" ht="23.85" hidden="false" customHeight="false" outlineLevel="0" collapsed="false">
      <c r="A5" s="29" t="s">
        <v>113</v>
      </c>
      <c r="B5" s="30" t="s">
        <v>114</v>
      </c>
      <c r="C5" s="30" t="s">
        <v>115</v>
      </c>
      <c r="D5" s="30" t="n">
        <v>2</v>
      </c>
      <c r="E5" s="30" t="s">
        <v>116</v>
      </c>
      <c r="F5" s="30" t="s">
        <v>117</v>
      </c>
      <c r="G5" s="30" t="s">
        <v>118</v>
      </c>
      <c r="H5" s="30" t="s">
        <v>119</v>
      </c>
    </row>
    <row r="6" customFormat="false" ht="15" hidden="false" customHeight="false" outlineLevel="0" collapsed="false">
      <c r="A6" s="31"/>
      <c r="B6" s="32"/>
      <c r="C6" s="33"/>
      <c r="D6" s="34"/>
      <c r="E6" s="35" t="str">
        <f aca="false">IF(D6="","",SUMIFS(Tasks!$G$5:$G$48,Tasks!$B$5:$B$48,D6))</f>
        <v/>
      </c>
      <c r="F6" s="32"/>
      <c r="G6" s="32"/>
      <c r="H6" s="32"/>
    </row>
    <row r="7" customFormat="false" ht="15" hidden="false" customHeight="false" outlineLevel="0" collapsed="false">
      <c r="A7" s="31"/>
      <c r="B7" s="32"/>
      <c r="C7" s="33"/>
      <c r="D7" s="34"/>
      <c r="E7" s="35" t="str">
        <f aca="false">IF(D7="","",SUMIFS(Tasks!$G$5:$G$48,Tasks!$B$5:$B$48,D7))</f>
        <v/>
      </c>
      <c r="F7" s="32"/>
      <c r="G7" s="32"/>
      <c r="H7" s="32"/>
    </row>
    <row r="8" customFormat="false" ht="15" hidden="false" customHeight="false" outlineLevel="0" collapsed="false">
      <c r="A8" s="31"/>
      <c r="B8" s="32"/>
      <c r="C8" s="33"/>
      <c r="D8" s="34"/>
      <c r="E8" s="35" t="str">
        <f aca="false">IF(D8="","",SUMIFS(Tasks!$G$5:$G$48,Tasks!$B$5:$B$48,D8))</f>
        <v/>
      </c>
      <c r="F8" s="32"/>
      <c r="G8" s="32"/>
      <c r="H8" s="32"/>
    </row>
    <row r="9" customFormat="false" ht="15" hidden="false" customHeight="false" outlineLevel="0" collapsed="false">
      <c r="A9" s="31"/>
      <c r="B9" s="32"/>
      <c r="C9" s="33"/>
      <c r="D9" s="34"/>
      <c r="E9" s="35" t="str">
        <f aca="false">IF(D9="","",SUMIFS(Tasks!$G$5:$G$48,Tasks!$B$5:$B$48,D9))</f>
        <v/>
      </c>
      <c r="F9" s="32"/>
      <c r="G9" s="32"/>
      <c r="H9" s="32"/>
    </row>
    <row r="10" customFormat="false" ht="15" hidden="false" customHeight="false" outlineLevel="0" collapsed="false">
      <c r="A10" s="31"/>
      <c r="B10" s="32"/>
      <c r="C10" s="33"/>
      <c r="D10" s="34"/>
      <c r="E10" s="35" t="str">
        <f aca="false">IF(D10="","",SUMIFS(Tasks!$G$5:$G$48,Tasks!$B$5:$B$48,D10))</f>
        <v/>
      </c>
      <c r="F10" s="32"/>
      <c r="G10" s="32"/>
      <c r="H10" s="32"/>
    </row>
    <row r="11" customFormat="false" ht="15" hidden="false" customHeight="false" outlineLevel="0" collapsed="false">
      <c r="A11" s="31"/>
      <c r="B11" s="32"/>
      <c r="C11" s="33"/>
      <c r="D11" s="34"/>
      <c r="E11" s="35" t="str">
        <f aca="false">IF(D11="","",SUMIFS(Tasks!$G$5:$G$48,Tasks!$B$5:$B$48,D11))</f>
        <v/>
      </c>
      <c r="F11" s="32"/>
      <c r="G11" s="32"/>
      <c r="H11" s="32"/>
    </row>
    <row r="12" customFormat="false" ht="15" hidden="false" customHeight="false" outlineLevel="0" collapsed="false">
      <c r="A12" s="31"/>
      <c r="B12" s="32"/>
      <c r="C12" s="33"/>
      <c r="D12" s="34"/>
      <c r="E12" s="35" t="str">
        <f aca="false">IF(D12="","",SUMIFS(Tasks!$G$5:$G$48,Tasks!$B$5:$B$48,D12))</f>
        <v/>
      </c>
      <c r="F12" s="32"/>
      <c r="G12" s="32"/>
      <c r="H12" s="32"/>
    </row>
    <row r="13" customFormat="false" ht="15" hidden="false" customHeight="false" outlineLevel="0" collapsed="false">
      <c r="A13" s="31"/>
      <c r="B13" s="32"/>
      <c r="C13" s="33"/>
      <c r="D13" s="34"/>
      <c r="E13" s="35" t="str">
        <f aca="false">IF(D13="","",SUMIFS(Tasks!$G$5:$G$48,Tasks!$B$5:$B$48,D13))</f>
        <v/>
      </c>
      <c r="F13" s="32"/>
      <c r="G13" s="32"/>
      <c r="H13" s="32"/>
    </row>
    <row r="14" customFormat="false" ht="15" hidden="false" customHeight="false" outlineLevel="0" collapsed="false">
      <c r="A14" s="31"/>
      <c r="B14" s="32"/>
      <c r="C14" s="33"/>
      <c r="D14" s="34"/>
      <c r="E14" s="35" t="str">
        <f aca="false">IF(D14="","",SUMIFS(Tasks!$G$5:$G$48,Tasks!$B$5:$B$48,D14))</f>
        <v/>
      </c>
      <c r="F14" s="32"/>
      <c r="G14" s="32"/>
      <c r="H14" s="32"/>
    </row>
    <row r="15" customFormat="false" ht="15" hidden="false" customHeight="false" outlineLevel="0" collapsed="false">
      <c r="A15" s="31"/>
      <c r="B15" s="32"/>
      <c r="C15" s="33"/>
      <c r="D15" s="34"/>
      <c r="E15" s="35" t="str">
        <f aca="false">IF(D15="","",SUMIFS(Tasks!$G$5:$G$48,Tasks!$B$5:$B$48,D15))</f>
        <v/>
      </c>
      <c r="F15" s="32"/>
      <c r="G15" s="32"/>
      <c r="H15" s="32"/>
    </row>
    <row r="16" customFormat="false" ht="15" hidden="false" customHeight="false" outlineLevel="0" collapsed="false">
      <c r="A16" s="31"/>
      <c r="B16" s="32"/>
      <c r="C16" s="33"/>
      <c r="D16" s="34"/>
      <c r="E16" s="35" t="str">
        <f aca="false">IF(D16="","",SUMIFS(Tasks!$G$5:$G$48,Tasks!$B$5:$B$48,D16))</f>
        <v/>
      </c>
      <c r="F16" s="32"/>
      <c r="G16" s="32"/>
      <c r="H16" s="32"/>
    </row>
    <row r="17" customFormat="false" ht="15" hidden="false" customHeight="false" outlineLevel="0" collapsed="false">
      <c r="A17" s="31"/>
      <c r="B17" s="32"/>
      <c r="C17" s="33"/>
      <c r="D17" s="34"/>
      <c r="E17" s="35" t="str">
        <f aca="false">IF(D17="","",SUMIFS(Tasks!$G$5:$G$48,Tasks!$B$5:$B$48,D17))</f>
        <v/>
      </c>
      <c r="F17" s="32"/>
      <c r="G17" s="32"/>
      <c r="H17" s="32"/>
    </row>
    <row r="18" customFormat="false" ht="15" hidden="false" customHeight="false" outlineLevel="0" collapsed="false">
      <c r="A18" s="31"/>
      <c r="B18" s="32"/>
      <c r="C18" s="33"/>
      <c r="D18" s="34"/>
      <c r="E18" s="35" t="str">
        <f aca="false">IF(D18="","",SUMIFS(Tasks!$G$5:$G$48,Tasks!$B$5:$B$48,D18))</f>
        <v/>
      </c>
      <c r="F18" s="32"/>
      <c r="G18" s="32"/>
      <c r="H18" s="32"/>
    </row>
    <row r="19" customFormat="false" ht="15" hidden="false" customHeight="false" outlineLevel="0" collapsed="false">
      <c r="A19" s="31"/>
      <c r="B19" s="32"/>
      <c r="C19" s="33"/>
      <c r="D19" s="34"/>
      <c r="E19" s="35" t="str">
        <f aca="false">IF(D19="","",SUMIFS(Tasks!$G$5:$G$48,Tasks!$B$5:$B$48,D19))</f>
        <v/>
      </c>
      <c r="F19" s="32"/>
      <c r="G19" s="32"/>
      <c r="H19" s="32"/>
    </row>
    <row r="20" customFormat="false" ht="15" hidden="false" customHeight="false" outlineLevel="0" collapsed="false">
      <c r="A20" s="31"/>
      <c r="B20" s="32"/>
      <c r="C20" s="33"/>
      <c r="D20" s="34"/>
      <c r="E20" s="35" t="str">
        <f aca="false">IF(D20="","",SUMIFS(Tasks!$G$5:$G$48,Tasks!$B$5:$B$48,D20))</f>
        <v/>
      </c>
      <c r="F20" s="32"/>
      <c r="G20" s="32"/>
      <c r="H20" s="32"/>
    </row>
    <row r="21" customFormat="false" ht="15" hidden="false" customHeight="false" outlineLevel="0" collapsed="false">
      <c r="A21" s="31"/>
      <c r="B21" s="32"/>
      <c r="C21" s="33"/>
      <c r="D21" s="34"/>
      <c r="E21" s="35" t="str">
        <f aca="false">IF(D21="","",SUMIFS(Tasks!$G$5:$G$48,Tasks!$B$5:$B$48,D21))</f>
        <v/>
      </c>
      <c r="F21" s="32"/>
      <c r="G21" s="32"/>
      <c r="H21" s="32"/>
    </row>
    <row r="22" customFormat="false" ht="15" hidden="false" customHeight="false" outlineLevel="0" collapsed="false">
      <c r="A22" s="31"/>
      <c r="B22" s="32"/>
      <c r="C22" s="33"/>
      <c r="D22" s="34"/>
      <c r="E22" s="35" t="str">
        <f aca="false">IF(D22="","",SUMIFS(Tasks!$G$5:$G$48,Tasks!$B$5:$B$48,D22))</f>
        <v/>
      </c>
      <c r="F22" s="32"/>
      <c r="G22" s="32"/>
      <c r="H22" s="32"/>
    </row>
    <row r="23" customFormat="false" ht="15" hidden="false" customHeight="false" outlineLevel="0" collapsed="false">
      <c r="A23" s="31"/>
      <c r="B23" s="32"/>
      <c r="C23" s="33"/>
      <c r="D23" s="34"/>
      <c r="E23" s="35" t="str">
        <f aca="false">IF(D23="","",SUMIFS(Tasks!$G$5:$G$48,Tasks!$B$5:$B$48,D23))</f>
        <v/>
      </c>
      <c r="F23" s="32"/>
      <c r="G23" s="32"/>
      <c r="H23" s="32"/>
    </row>
    <row r="24" customFormat="false" ht="15" hidden="false" customHeight="false" outlineLevel="0" collapsed="false">
      <c r="A24" s="31"/>
      <c r="B24" s="32"/>
      <c r="C24" s="33"/>
      <c r="D24" s="34"/>
      <c r="E24" s="35" t="str">
        <f aca="false">IF(D24="","",SUMIFS(Tasks!$G$5:$G$48,Tasks!$B$5:$B$48,D24))</f>
        <v/>
      </c>
      <c r="F24" s="32"/>
      <c r="G24" s="32"/>
      <c r="H24" s="32"/>
    </row>
    <row r="25" customFormat="false" ht="15" hidden="false" customHeight="false" outlineLevel="0" collapsed="false">
      <c r="A25" s="31"/>
      <c r="B25" s="32"/>
      <c r="C25" s="33"/>
      <c r="D25" s="34"/>
      <c r="E25" s="35" t="str">
        <f aca="false">IF(D25="","",SUMIFS(Tasks!$G$5:$G$48,Tasks!$B$5:$B$48,D25))</f>
        <v/>
      </c>
      <c r="F25" s="32"/>
      <c r="G25" s="32"/>
      <c r="H25" s="32"/>
    </row>
    <row r="26" customFormat="false" ht="15" hidden="false" customHeight="false" outlineLevel="0" collapsed="false">
      <c r="A26" s="31"/>
      <c r="B26" s="32"/>
      <c r="C26" s="33"/>
      <c r="D26" s="34"/>
      <c r="E26" s="35" t="str">
        <f aca="false">IF(D26="","",SUMIFS(Tasks!$G$5:$G$48,Tasks!$B$5:$B$48,D26))</f>
        <v/>
      </c>
      <c r="F26" s="32"/>
      <c r="G26" s="32"/>
      <c r="H26" s="32"/>
    </row>
    <row r="27" customFormat="false" ht="15" hidden="false" customHeight="false" outlineLevel="0" collapsed="false">
      <c r="A27" s="31"/>
      <c r="B27" s="32"/>
      <c r="C27" s="33"/>
      <c r="D27" s="34"/>
      <c r="E27" s="35" t="str">
        <f aca="false">IF(D27="","",SUMIFS(Tasks!$G$5:$G$48,Tasks!$B$5:$B$48,D27))</f>
        <v/>
      </c>
      <c r="F27" s="32"/>
      <c r="G27" s="32"/>
      <c r="H27" s="32"/>
    </row>
    <row r="28" customFormat="false" ht="15" hidden="false" customHeight="false" outlineLevel="0" collapsed="false">
      <c r="A28" s="31"/>
      <c r="B28" s="32"/>
      <c r="C28" s="33"/>
      <c r="D28" s="34"/>
      <c r="E28" s="35" t="str">
        <f aca="false">IF(D28="","",SUMIFS(Tasks!$G$5:$G$48,Tasks!$B$5:$B$48,D28))</f>
        <v/>
      </c>
      <c r="F28" s="32"/>
      <c r="G28" s="32"/>
      <c r="H28" s="32"/>
    </row>
    <row r="29" customFormat="false" ht="15" hidden="false" customHeight="false" outlineLevel="0" collapsed="false">
      <c r="A29" s="31"/>
      <c r="B29" s="32"/>
      <c r="C29" s="33"/>
      <c r="D29" s="34"/>
      <c r="E29" s="35" t="str">
        <f aca="false">IF(D29="","",SUMIFS(Tasks!$G$5:$G$48,Tasks!$B$5:$B$48,D29))</f>
        <v/>
      </c>
      <c r="F29" s="32"/>
      <c r="G29" s="32"/>
      <c r="H29" s="32"/>
    </row>
    <row r="30" customFormat="false" ht="15" hidden="false" customHeight="false" outlineLevel="0" collapsed="false">
      <c r="A30" s="31"/>
      <c r="B30" s="32"/>
      <c r="C30" s="33"/>
      <c r="D30" s="34"/>
      <c r="E30" s="35" t="str">
        <f aca="false">IF(D30="","",SUMIFS(Tasks!$G$5:$G$48,Tasks!$B$5:$B$48,D30))</f>
        <v/>
      </c>
      <c r="F30" s="32"/>
      <c r="G30" s="32"/>
      <c r="H30" s="32"/>
    </row>
    <row r="31" customFormat="false" ht="15" hidden="false" customHeight="false" outlineLevel="0" collapsed="false">
      <c r="A31" s="31"/>
      <c r="B31" s="32"/>
      <c r="C31" s="33"/>
      <c r="D31" s="34"/>
      <c r="E31" s="35" t="str">
        <f aca="false">IF(D31="","",SUMIFS(Tasks!$G$5:$G$48,Tasks!$B$5:$B$48,D31))</f>
        <v/>
      </c>
      <c r="F31" s="32"/>
      <c r="G31" s="32"/>
      <c r="H31" s="32"/>
    </row>
    <row r="32" customFormat="false" ht="15" hidden="false" customHeight="false" outlineLevel="0" collapsed="false">
      <c r="A32" s="31"/>
      <c r="B32" s="32"/>
      <c r="C32" s="33"/>
      <c r="D32" s="34"/>
      <c r="E32" s="35" t="str">
        <f aca="false">IF(D32="","",SUMIFS(Tasks!$G$5:$G$48,Tasks!$B$5:$B$48,D32))</f>
        <v/>
      </c>
      <c r="F32" s="32"/>
      <c r="G32" s="32"/>
      <c r="H32" s="32"/>
    </row>
    <row r="33" customFormat="false" ht="15" hidden="false" customHeight="false" outlineLevel="0" collapsed="false">
      <c r="A33" s="31"/>
      <c r="B33" s="32"/>
      <c r="C33" s="33"/>
      <c r="D33" s="34"/>
      <c r="E33" s="35" t="str">
        <f aca="false">IF(D33="","",SUMIFS(Tasks!$G$5:$G$48,Tasks!$B$5:$B$48,D33))</f>
        <v/>
      </c>
      <c r="F33" s="32"/>
      <c r="G33" s="32"/>
      <c r="H33" s="32"/>
    </row>
    <row r="34" customFormat="false" ht="15" hidden="false" customHeight="false" outlineLevel="0" collapsed="false">
      <c r="A34" s="31"/>
      <c r="B34" s="32"/>
      <c r="C34" s="33"/>
      <c r="D34" s="34"/>
      <c r="E34" s="35" t="str">
        <f aca="false">IF(D34="","",SUMIFS(Tasks!$G$5:$G$48,Tasks!$B$5:$B$48,D34))</f>
        <v/>
      </c>
      <c r="F34" s="32"/>
      <c r="G34" s="32"/>
      <c r="H34" s="32"/>
    </row>
    <row r="35" customFormat="false" ht="15" hidden="false" customHeight="false" outlineLevel="0" collapsed="false">
      <c r="A35" s="31"/>
      <c r="B35" s="32"/>
      <c r="C35" s="33"/>
      <c r="D35" s="34"/>
      <c r="E35" s="35" t="str">
        <f aca="false">IF(D35="","",SUMIFS(Tasks!$G$5:$G$48,Tasks!$B$5:$B$48,D35))</f>
        <v/>
      </c>
      <c r="F35" s="32"/>
      <c r="G35" s="32"/>
      <c r="H35" s="32"/>
    </row>
    <row r="36" customFormat="false" ht="15" hidden="false" customHeight="false" outlineLevel="0" collapsed="false">
      <c r="A36" s="31"/>
      <c r="B36" s="32"/>
      <c r="C36" s="33"/>
      <c r="D36" s="34"/>
      <c r="E36" s="35" t="str">
        <f aca="false">IF(D36="","",SUMIFS(Tasks!$G$5:$G$48,Tasks!$B$5:$B$48,D36))</f>
        <v/>
      </c>
      <c r="F36" s="32"/>
      <c r="G36" s="32"/>
      <c r="H36" s="32"/>
    </row>
    <row r="37" customFormat="false" ht="15" hidden="false" customHeight="false" outlineLevel="0" collapsed="false">
      <c r="A37" s="31"/>
      <c r="B37" s="32"/>
      <c r="C37" s="33"/>
      <c r="D37" s="34"/>
      <c r="E37" s="35" t="str">
        <f aca="false">IF(D37="","",SUMIFS(Tasks!$G$5:$G$48,Tasks!$B$5:$B$48,D37))</f>
        <v/>
      </c>
      <c r="F37" s="32"/>
      <c r="G37" s="32"/>
      <c r="H37" s="32"/>
    </row>
    <row r="38" customFormat="false" ht="15" hidden="false" customHeight="false" outlineLevel="0" collapsed="false">
      <c r="A38" s="31"/>
      <c r="B38" s="32"/>
      <c r="C38" s="33"/>
      <c r="D38" s="34"/>
      <c r="E38" s="35" t="str">
        <f aca="false">IF(D38="","",SUMIFS(Tasks!$G$5:$G$48,Tasks!$B$5:$B$48,D38))</f>
        <v/>
      </c>
      <c r="F38" s="32"/>
      <c r="G38" s="32"/>
      <c r="H38" s="32"/>
    </row>
    <row r="39" customFormat="false" ht="15" hidden="false" customHeight="false" outlineLevel="0" collapsed="false">
      <c r="A39" s="31"/>
      <c r="B39" s="32"/>
      <c r="C39" s="33"/>
      <c r="D39" s="34"/>
      <c r="E39" s="35" t="str">
        <f aca="false">IF(D39="","",SUMIFS(Tasks!$G$5:$G$48,Tasks!$B$5:$B$48,D39))</f>
        <v/>
      </c>
      <c r="F39" s="32"/>
      <c r="G39" s="32"/>
      <c r="H39" s="32"/>
    </row>
    <row r="40" customFormat="false" ht="15" hidden="false" customHeight="false" outlineLevel="0" collapsed="false">
      <c r="A40" s="31"/>
      <c r="B40" s="32"/>
      <c r="C40" s="33"/>
      <c r="D40" s="34"/>
      <c r="E40" s="35" t="str">
        <f aca="false">IF(D40="","",SUMIFS(Tasks!$G$5:$G$48,Tasks!$B$5:$B$48,D40))</f>
        <v/>
      </c>
      <c r="F40" s="32"/>
      <c r="G40" s="32"/>
      <c r="H40" s="32"/>
    </row>
    <row r="41" customFormat="false" ht="15" hidden="false" customHeight="false" outlineLevel="0" collapsed="false">
      <c r="A41" s="31"/>
      <c r="B41" s="32"/>
      <c r="C41" s="33"/>
      <c r="D41" s="34"/>
      <c r="E41" s="35" t="str">
        <f aca="false">IF(D41="","",SUMIFS(Tasks!$G$5:$G$48,Tasks!$B$5:$B$48,D41))</f>
        <v/>
      </c>
      <c r="F41" s="32"/>
      <c r="G41" s="32"/>
      <c r="H41" s="32"/>
    </row>
    <row r="42" customFormat="false" ht="15" hidden="false" customHeight="false" outlineLevel="0" collapsed="false">
      <c r="A42" s="31"/>
      <c r="B42" s="32"/>
      <c r="C42" s="33"/>
      <c r="D42" s="34"/>
      <c r="E42" s="35" t="str">
        <f aca="false">IF(D42="","",SUMIFS(Tasks!$G$5:$G$48,Tasks!$B$5:$B$48,D42))</f>
        <v/>
      </c>
      <c r="F42" s="32"/>
      <c r="G42" s="32"/>
      <c r="H42" s="32"/>
    </row>
    <row r="43" customFormat="false" ht="15" hidden="false" customHeight="false" outlineLevel="0" collapsed="false">
      <c r="A43" s="31"/>
      <c r="B43" s="32"/>
      <c r="C43" s="33"/>
      <c r="D43" s="34"/>
      <c r="E43" s="35" t="str">
        <f aca="false">IF(D43="","",SUMIFS(Tasks!$G$5:$G$48,Tasks!$B$5:$B$48,D43))</f>
        <v/>
      </c>
      <c r="F43" s="32"/>
      <c r="G43" s="32"/>
      <c r="H43" s="32"/>
    </row>
    <row r="44" customFormat="false" ht="15" hidden="false" customHeight="false" outlineLevel="0" collapsed="false">
      <c r="A44" s="31"/>
      <c r="B44" s="32"/>
      <c r="C44" s="33"/>
      <c r="D44" s="34"/>
      <c r="E44" s="35" t="str">
        <f aca="false">IF(D44="","",SUMIFS(Tasks!$G$5:$G$48,Tasks!$B$5:$B$48,D44))</f>
        <v/>
      </c>
      <c r="F44" s="32"/>
      <c r="G44" s="32"/>
      <c r="H44" s="32"/>
    </row>
    <row r="45" customFormat="false" ht="15" hidden="false" customHeight="false" outlineLevel="0" collapsed="false">
      <c r="A45" s="31"/>
      <c r="B45" s="32"/>
      <c r="C45" s="33"/>
      <c r="D45" s="34"/>
      <c r="E45" s="35" t="str">
        <f aca="false">IF(D45="","",SUMIFS(Tasks!$G$5:$G$48,Tasks!$B$5:$B$48,D45))</f>
        <v/>
      </c>
      <c r="F45" s="32"/>
      <c r="G45" s="32"/>
      <c r="H45" s="32"/>
    </row>
    <row r="46" customFormat="false" ht="15" hidden="false" customHeight="false" outlineLevel="0" collapsed="false">
      <c r="A46" s="31"/>
      <c r="B46" s="32"/>
      <c r="C46" s="33"/>
      <c r="D46" s="34"/>
      <c r="E46" s="35" t="str">
        <f aca="false">IF(D46="","",SUMIFS(Tasks!$G$5:$G$48,Tasks!$B$5:$B$48,D46))</f>
        <v/>
      </c>
      <c r="F46" s="32"/>
      <c r="G46" s="32"/>
      <c r="H46" s="32"/>
    </row>
    <row r="47" customFormat="false" ht="15" hidden="false" customHeight="false" outlineLevel="0" collapsed="false">
      <c r="A47" s="31"/>
      <c r="B47" s="32"/>
      <c r="C47" s="33"/>
      <c r="D47" s="34"/>
      <c r="E47" s="35" t="str">
        <f aca="false">IF(D47="","",SUMIFS(Tasks!$G$5:$G$48,Tasks!$B$5:$B$48,D47))</f>
        <v/>
      </c>
      <c r="F47" s="32"/>
      <c r="G47" s="32"/>
      <c r="H47" s="32"/>
    </row>
    <row r="48" customFormat="false" ht="15" hidden="false" customHeight="false" outlineLevel="0" collapsed="false">
      <c r="A48" s="31"/>
      <c r="B48" s="32"/>
      <c r="C48" s="33"/>
      <c r="D48" s="34"/>
      <c r="E48" s="35" t="str">
        <f aca="false">IF(D48="","",SUMIFS(Tasks!$G$5:$G$48,Tasks!$B$5:$B$48,D48))</f>
        <v/>
      </c>
      <c r="F48" s="32"/>
      <c r="G48" s="32"/>
      <c r="H48" s="32"/>
    </row>
    <row r="49" customFormat="false" ht="15" hidden="false" customHeight="false" outlineLevel="0" collapsed="false">
      <c r="A49" s="31"/>
      <c r="B49" s="32"/>
      <c r="C49" s="33"/>
      <c r="D49" s="34"/>
      <c r="E49" s="35" t="str">
        <f aca="false">IF(D49="","",SUMIFS(Tasks!$G$5:$G$48,Tasks!$B$5:$B$48,D49))</f>
        <v/>
      </c>
      <c r="F49" s="32"/>
      <c r="G49" s="32"/>
      <c r="H49" s="32"/>
    </row>
    <row r="50" customFormat="false" ht="15" hidden="false" customHeight="false" outlineLevel="0" collapsed="false">
      <c r="A50" s="31"/>
      <c r="B50" s="32"/>
      <c r="C50" s="33"/>
      <c r="D50" s="34"/>
      <c r="E50" s="35" t="str">
        <f aca="false">IF(D50="","",SUMIFS(Tasks!$G$5:$G$48,Tasks!$B$5:$B$48,D50))</f>
        <v/>
      </c>
      <c r="F50" s="32"/>
      <c r="G50" s="32"/>
      <c r="H50" s="32"/>
    </row>
    <row r="51" customFormat="false" ht="15" hidden="false" customHeight="false" outlineLevel="0" collapsed="false">
      <c r="A51" s="31"/>
      <c r="B51" s="32"/>
      <c r="C51" s="33"/>
      <c r="D51" s="34"/>
      <c r="E51" s="35" t="str">
        <f aca="false">IF(D51="","",SUMIFS(Tasks!$G$5:$G$48,Tasks!$B$5:$B$48,D51))</f>
        <v/>
      </c>
      <c r="F51" s="32"/>
      <c r="G51" s="32"/>
      <c r="H51" s="32"/>
    </row>
    <row r="52" customFormat="false" ht="15" hidden="false" customHeight="false" outlineLevel="0" collapsed="false">
      <c r="A52" s="31"/>
      <c r="B52" s="32"/>
      <c r="C52" s="33"/>
      <c r="D52" s="34"/>
      <c r="E52" s="35" t="str">
        <f aca="false">IF(D52="","",SUMIFS(Tasks!$G$5:$G$48,Tasks!$B$5:$B$48,D52))</f>
        <v/>
      </c>
      <c r="F52" s="32"/>
      <c r="G52" s="32"/>
      <c r="H52" s="32"/>
    </row>
    <row r="53" customFormat="false" ht="15" hidden="false" customHeight="false" outlineLevel="0" collapsed="false">
      <c r="A53" s="31"/>
      <c r="B53" s="32"/>
      <c r="C53" s="33"/>
      <c r="D53" s="34"/>
      <c r="E53" s="35" t="str">
        <f aca="false">IF(D53="","",SUMIFS(Tasks!$G$5:$G$48,Tasks!$B$5:$B$48,D53))</f>
        <v/>
      </c>
      <c r="F53" s="32"/>
      <c r="G53" s="32"/>
      <c r="H53" s="32"/>
    </row>
    <row r="54" customFormat="false" ht="15" hidden="false" customHeight="false" outlineLevel="0" collapsed="false">
      <c r="A54" s="31"/>
      <c r="B54" s="32"/>
      <c r="C54" s="33"/>
      <c r="D54" s="34"/>
      <c r="E54" s="35" t="str">
        <f aca="false">IF(D54="","",SUMIFS(Tasks!$G$5:$G$48,Tasks!$B$5:$B$48,D54))</f>
        <v/>
      </c>
      <c r="F54" s="32"/>
      <c r="G54" s="32"/>
      <c r="H54" s="32"/>
    </row>
    <row r="55" customFormat="false" ht="15" hidden="false" customHeight="false" outlineLevel="0" collapsed="false">
      <c r="A55" s="31"/>
      <c r="B55" s="32"/>
      <c r="C55" s="33"/>
      <c r="D55" s="34"/>
      <c r="E55" s="35" t="str">
        <f aca="false">IF(D55="","",SUMIFS(Tasks!$G$5:$G$48,Tasks!$B$5:$B$48,D55))</f>
        <v/>
      </c>
      <c r="F55" s="32"/>
      <c r="G55" s="32"/>
      <c r="H55" s="32"/>
    </row>
    <row r="56" customFormat="false" ht="15" hidden="false" customHeight="false" outlineLevel="0" collapsed="false">
      <c r="A56" s="31"/>
      <c r="B56" s="32"/>
      <c r="C56" s="33"/>
      <c r="D56" s="34"/>
      <c r="E56" s="35" t="str">
        <f aca="false">IF(D56="","",SUMIFS(Tasks!$G$5:$G$48,Tasks!$B$5:$B$48,D56))</f>
        <v/>
      </c>
      <c r="F56" s="32"/>
      <c r="G56" s="32"/>
      <c r="H56" s="32"/>
    </row>
    <row r="57" customFormat="false" ht="15" hidden="false" customHeight="false" outlineLevel="0" collapsed="false">
      <c r="A57" s="31"/>
      <c r="B57" s="32"/>
      <c r="C57" s="33"/>
      <c r="D57" s="34"/>
      <c r="E57" s="35" t="str">
        <f aca="false">IF(D57="","",SUMIFS(Tasks!$G$5:$G$48,Tasks!$B$5:$B$48,D57))</f>
        <v/>
      </c>
      <c r="F57" s="32"/>
      <c r="G57" s="32"/>
      <c r="H57" s="32"/>
    </row>
    <row r="58" customFormat="false" ht="15" hidden="false" customHeight="false" outlineLevel="0" collapsed="false">
      <c r="A58" s="31"/>
      <c r="B58" s="32"/>
      <c r="C58" s="33"/>
      <c r="D58" s="34"/>
      <c r="E58" s="35" t="str">
        <f aca="false">IF(D58="","",SUMIFS(Tasks!$G$5:$G$48,Tasks!$B$5:$B$48,D58))</f>
        <v/>
      </c>
      <c r="F58" s="32"/>
      <c r="G58" s="32"/>
      <c r="H58" s="32"/>
    </row>
    <row r="59" customFormat="false" ht="15" hidden="false" customHeight="false" outlineLevel="0" collapsed="false">
      <c r="A59" s="31"/>
      <c r="B59" s="32"/>
      <c r="C59" s="33"/>
      <c r="D59" s="34"/>
      <c r="E59" s="35" t="str">
        <f aca="false">IF(D59="","",SUMIFS(Tasks!$G$5:$G$48,Tasks!$B$5:$B$48,D59))</f>
        <v/>
      </c>
      <c r="F59" s="32"/>
      <c r="G59" s="32"/>
      <c r="H59" s="32"/>
    </row>
    <row r="60" customFormat="false" ht="15" hidden="false" customHeight="false" outlineLevel="0" collapsed="false">
      <c r="A60" s="31"/>
      <c r="B60" s="32"/>
      <c r="C60" s="33"/>
      <c r="D60" s="34"/>
      <c r="E60" s="35" t="str">
        <f aca="false">IF(D60="","",SUMIFS(Tasks!$G$5:$G$48,Tasks!$B$5:$B$48,D60))</f>
        <v/>
      </c>
      <c r="F60" s="32"/>
      <c r="G60" s="32"/>
      <c r="H60" s="32"/>
    </row>
    <row r="61" customFormat="false" ht="15" hidden="false" customHeight="false" outlineLevel="0" collapsed="false">
      <c r="A61" s="31"/>
      <c r="B61" s="32"/>
      <c r="C61" s="33"/>
      <c r="D61" s="34"/>
      <c r="E61" s="35" t="str">
        <f aca="false">IF(D61="","",SUMIFS(Tasks!$G$5:$G$48,Tasks!$B$5:$B$48,D61))</f>
        <v/>
      </c>
      <c r="F61" s="32"/>
      <c r="G61" s="32"/>
      <c r="H61" s="32"/>
    </row>
    <row r="62" customFormat="false" ht="15" hidden="false" customHeight="false" outlineLevel="0" collapsed="false">
      <c r="A62" s="31"/>
      <c r="B62" s="32"/>
      <c r="C62" s="33"/>
      <c r="D62" s="34"/>
      <c r="E62" s="35" t="str">
        <f aca="false">IF(D62="","",SUMIFS(Tasks!$G$5:$G$48,Tasks!$B$5:$B$48,D62))</f>
        <v/>
      </c>
      <c r="F62" s="32"/>
      <c r="G62" s="32"/>
      <c r="H62" s="32"/>
    </row>
    <row r="63" customFormat="false" ht="15" hidden="false" customHeight="false" outlineLevel="0" collapsed="false">
      <c r="A63" s="31"/>
      <c r="B63" s="32"/>
      <c r="C63" s="33"/>
      <c r="D63" s="34"/>
      <c r="E63" s="35" t="str">
        <f aca="false">IF(D63="","",SUMIFS(Tasks!$G$5:$G$48,Tasks!$B$5:$B$48,D63))</f>
        <v/>
      </c>
      <c r="F63" s="32"/>
      <c r="G63" s="32"/>
      <c r="H63" s="32"/>
    </row>
    <row r="64" customFormat="false" ht="15" hidden="false" customHeight="false" outlineLevel="0" collapsed="false">
      <c r="A64" s="31"/>
      <c r="B64" s="32"/>
      <c r="C64" s="33"/>
      <c r="D64" s="34"/>
      <c r="E64" s="35" t="str">
        <f aca="false">IF(D64="","",SUMIFS(Tasks!$G$5:$G$48,Tasks!$B$5:$B$48,D64))</f>
        <v/>
      </c>
      <c r="F64" s="32"/>
      <c r="G64" s="32"/>
      <c r="H64" s="32"/>
    </row>
    <row r="65" customFormat="false" ht="15" hidden="false" customHeight="false" outlineLevel="0" collapsed="false">
      <c r="A65" s="31"/>
      <c r="B65" s="32"/>
      <c r="C65" s="33"/>
      <c r="D65" s="34"/>
      <c r="E65" s="35" t="str">
        <f aca="false">IF(D65="","",SUMIFS(Tasks!$G$5:$G$48,Tasks!$B$5:$B$48,D65))</f>
        <v/>
      </c>
      <c r="F65" s="32"/>
      <c r="G65" s="32"/>
      <c r="H65" s="32"/>
    </row>
    <row r="66" customFormat="false" ht="15" hidden="false" customHeight="false" outlineLevel="0" collapsed="false">
      <c r="A66" s="31"/>
      <c r="B66" s="32"/>
      <c r="C66" s="33"/>
      <c r="D66" s="34"/>
      <c r="E66" s="35" t="str">
        <f aca="false">IF(D66="","",SUMIFS(Tasks!$G$5:$G$48,Tasks!$B$5:$B$48,D66))</f>
        <v/>
      </c>
      <c r="F66" s="32"/>
      <c r="G66" s="32"/>
      <c r="H66" s="32"/>
    </row>
    <row r="67" customFormat="false" ht="15" hidden="false" customHeight="false" outlineLevel="0" collapsed="false">
      <c r="A67" s="31"/>
      <c r="B67" s="32"/>
      <c r="C67" s="33"/>
      <c r="D67" s="34"/>
      <c r="E67" s="35" t="str">
        <f aca="false">IF(D67="","",SUMIFS(Tasks!$G$5:$G$48,Tasks!$B$5:$B$48,D67))</f>
        <v/>
      </c>
      <c r="F67" s="32"/>
      <c r="G67" s="32"/>
      <c r="H67" s="32"/>
    </row>
    <row r="68" customFormat="false" ht="15" hidden="false" customHeight="false" outlineLevel="0" collapsed="false">
      <c r="A68" s="31"/>
      <c r="B68" s="32"/>
      <c r="C68" s="33"/>
      <c r="D68" s="34"/>
      <c r="E68" s="35" t="str">
        <f aca="false">IF(D68="","",SUMIFS(Tasks!$G$5:$G$48,Tasks!$B$5:$B$48,D68))</f>
        <v/>
      </c>
      <c r="F68" s="32"/>
      <c r="G68" s="32"/>
      <c r="H68" s="32"/>
    </row>
    <row r="69" customFormat="false" ht="15" hidden="false" customHeight="false" outlineLevel="0" collapsed="false">
      <c r="A69" s="31"/>
      <c r="B69" s="32"/>
      <c r="C69" s="33"/>
      <c r="D69" s="34"/>
      <c r="E69" s="35" t="str">
        <f aca="false">IF(D69="","",SUMIFS(Tasks!$G$5:$G$48,Tasks!$B$5:$B$48,D69))</f>
        <v/>
      </c>
      <c r="F69" s="32"/>
      <c r="G69" s="32"/>
      <c r="H69" s="32"/>
    </row>
    <row r="70" customFormat="false" ht="15" hidden="false" customHeight="false" outlineLevel="0" collapsed="false">
      <c r="A70" s="31"/>
      <c r="B70" s="32"/>
      <c r="C70" s="33"/>
      <c r="D70" s="34"/>
      <c r="E70" s="35" t="str">
        <f aca="false">IF(D70="","",SUMIFS(Tasks!$G$5:$G$48,Tasks!$B$5:$B$48,D70))</f>
        <v/>
      </c>
      <c r="F70" s="32"/>
      <c r="G70" s="32"/>
      <c r="H70" s="32"/>
    </row>
    <row r="71" customFormat="false" ht="15" hidden="false" customHeight="false" outlineLevel="0" collapsed="false">
      <c r="A71" s="31"/>
      <c r="B71" s="32"/>
      <c r="C71" s="33"/>
      <c r="D71" s="34"/>
      <c r="E71" s="35" t="str">
        <f aca="false">IF(D71="","",SUMIFS(Tasks!$G$5:$G$48,Tasks!$B$5:$B$48,D71))</f>
        <v/>
      </c>
      <c r="F71" s="32"/>
      <c r="G71" s="32"/>
      <c r="H71" s="32"/>
    </row>
    <row r="72" customFormat="false" ht="15" hidden="false" customHeight="false" outlineLevel="0" collapsed="false">
      <c r="A72" s="31"/>
      <c r="B72" s="32"/>
      <c r="C72" s="33"/>
      <c r="D72" s="34"/>
      <c r="E72" s="35" t="str">
        <f aca="false">IF(D72="","",SUMIFS(Tasks!$G$5:$G$48,Tasks!$B$5:$B$48,D72))</f>
        <v/>
      </c>
      <c r="F72" s="32"/>
      <c r="G72" s="32"/>
      <c r="H72" s="32"/>
    </row>
    <row r="73" customFormat="false" ht="15" hidden="false" customHeight="false" outlineLevel="0" collapsed="false">
      <c r="A73" s="31"/>
      <c r="B73" s="32"/>
      <c r="C73" s="33"/>
      <c r="D73" s="34"/>
      <c r="E73" s="35" t="str">
        <f aca="false">IF(D73="","",SUMIFS(Tasks!$G$5:$G$48,Tasks!$B$5:$B$48,D73))</f>
        <v/>
      </c>
      <c r="F73" s="32"/>
      <c r="G73" s="32"/>
      <c r="H73" s="32"/>
    </row>
    <row r="74" customFormat="false" ht="15" hidden="false" customHeight="false" outlineLevel="0" collapsed="false">
      <c r="A74" s="31"/>
      <c r="B74" s="32"/>
      <c r="C74" s="33"/>
      <c r="D74" s="34"/>
      <c r="E74" s="35" t="str">
        <f aca="false">IF(D74="","",SUMIFS(Tasks!$G$5:$G$48,Tasks!$B$5:$B$48,D74))</f>
        <v/>
      </c>
      <c r="F74" s="32"/>
      <c r="G74" s="32"/>
      <c r="H74" s="32"/>
    </row>
    <row r="75" customFormat="false" ht="15" hidden="false" customHeight="false" outlineLevel="0" collapsed="false">
      <c r="A75" s="31"/>
      <c r="B75" s="32"/>
      <c r="C75" s="33"/>
      <c r="D75" s="34"/>
      <c r="E75" s="35" t="str">
        <f aca="false">IF(D75="","",SUMIFS(Tasks!$G$5:$G$48,Tasks!$B$5:$B$48,D75))</f>
        <v/>
      </c>
      <c r="F75" s="32"/>
      <c r="G75" s="32"/>
      <c r="H75" s="32"/>
    </row>
    <row r="76" customFormat="false" ht="15" hidden="false" customHeight="false" outlineLevel="0" collapsed="false">
      <c r="A76" s="31"/>
      <c r="B76" s="32"/>
      <c r="C76" s="33"/>
      <c r="D76" s="34"/>
      <c r="E76" s="35" t="str">
        <f aca="false">IF(D76="","",SUMIFS(Tasks!$G$5:$G$48,Tasks!$B$5:$B$48,D76))</f>
        <v/>
      </c>
      <c r="F76" s="32"/>
      <c r="G76" s="32"/>
      <c r="H76" s="32"/>
    </row>
    <row r="77" customFormat="false" ht="15" hidden="false" customHeight="false" outlineLevel="0" collapsed="false">
      <c r="A77" s="31"/>
      <c r="B77" s="32"/>
      <c r="C77" s="33"/>
      <c r="D77" s="34"/>
      <c r="E77" s="35" t="str">
        <f aca="false">IF(D77="","",SUMIFS(Tasks!$G$5:$G$48,Tasks!$B$5:$B$48,D77))</f>
        <v/>
      </c>
      <c r="F77" s="32"/>
      <c r="G77" s="32"/>
      <c r="H77" s="32"/>
    </row>
    <row r="78" customFormat="false" ht="15" hidden="false" customHeight="false" outlineLevel="0" collapsed="false">
      <c r="A78" s="31"/>
      <c r="B78" s="32"/>
      <c r="C78" s="33"/>
      <c r="D78" s="34"/>
      <c r="E78" s="35" t="str">
        <f aca="false">IF(D78="","",SUMIFS(Tasks!$G$5:$G$48,Tasks!$B$5:$B$48,D78))</f>
        <v/>
      </c>
      <c r="F78" s="32"/>
      <c r="G78" s="32"/>
      <c r="H78" s="32"/>
    </row>
    <row r="79" customFormat="false" ht="15" hidden="false" customHeight="false" outlineLevel="0" collapsed="false">
      <c r="A79" s="31"/>
      <c r="B79" s="32"/>
      <c r="C79" s="33"/>
      <c r="D79" s="34"/>
      <c r="E79" s="35" t="str">
        <f aca="false">IF(D79="","",SUMIFS(Tasks!$G$5:$G$48,Tasks!$B$5:$B$48,D79))</f>
        <v/>
      </c>
      <c r="F79" s="32"/>
      <c r="G79" s="32"/>
      <c r="H79" s="32"/>
    </row>
    <row r="80" customFormat="false" ht="15" hidden="false" customHeight="false" outlineLevel="0" collapsed="false">
      <c r="A80" s="31"/>
      <c r="B80" s="32"/>
      <c r="C80" s="33"/>
      <c r="D80" s="34"/>
      <c r="E80" s="35" t="str">
        <f aca="false">IF(D80="","",SUMIFS(Tasks!$G$5:$G$48,Tasks!$B$5:$B$48,D80))</f>
        <v/>
      </c>
      <c r="F80" s="32"/>
      <c r="G80" s="32"/>
      <c r="H80" s="32"/>
    </row>
    <row r="81" customFormat="false" ht="15" hidden="false" customHeight="false" outlineLevel="0" collapsed="false">
      <c r="A81" s="31"/>
      <c r="B81" s="32"/>
      <c r="C81" s="33"/>
      <c r="D81" s="34"/>
      <c r="E81" s="35" t="str">
        <f aca="false">IF(D81="","",SUMIFS(Tasks!$G$5:$G$48,Tasks!$B$5:$B$48,D81))</f>
        <v/>
      </c>
      <c r="F81" s="32"/>
      <c r="G81" s="32"/>
      <c r="H81" s="32"/>
    </row>
    <row r="82" customFormat="false" ht="15" hidden="false" customHeight="false" outlineLevel="0" collapsed="false">
      <c r="A82" s="31"/>
      <c r="B82" s="32"/>
      <c r="C82" s="33"/>
      <c r="D82" s="34"/>
      <c r="E82" s="35" t="str">
        <f aca="false">IF(D82="","",SUMIFS(Tasks!$G$5:$G$48,Tasks!$B$5:$B$48,D82))</f>
        <v/>
      </c>
      <c r="F82" s="32"/>
      <c r="G82" s="32"/>
      <c r="H82" s="32"/>
    </row>
    <row r="83" customFormat="false" ht="15" hidden="false" customHeight="false" outlineLevel="0" collapsed="false">
      <c r="A83" s="31"/>
      <c r="B83" s="32"/>
      <c r="C83" s="33"/>
      <c r="D83" s="34"/>
      <c r="E83" s="35" t="str">
        <f aca="false">IF(D83="","",SUMIFS(Tasks!$G$5:$G$48,Tasks!$B$5:$B$48,D83))</f>
        <v/>
      </c>
      <c r="F83" s="32"/>
      <c r="G83" s="32"/>
      <c r="H83" s="32"/>
    </row>
    <row r="84" customFormat="false" ht="15" hidden="false" customHeight="false" outlineLevel="0" collapsed="false">
      <c r="A84" s="31"/>
      <c r="B84" s="32"/>
      <c r="C84" s="33"/>
      <c r="D84" s="34"/>
      <c r="E84" s="35" t="str">
        <f aca="false">IF(D84="","",SUMIFS(Tasks!$G$5:$G$48,Tasks!$B$5:$B$48,D84))</f>
        <v/>
      </c>
      <c r="F84" s="32"/>
      <c r="G84" s="32"/>
      <c r="H84" s="32"/>
    </row>
    <row r="85" customFormat="false" ht="15" hidden="false" customHeight="false" outlineLevel="0" collapsed="false">
      <c r="A85" s="31"/>
      <c r="B85" s="32"/>
      <c r="C85" s="33"/>
      <c r="D85" s="34"/>
      <c r="E85" s="35" t="str">
        <f aca="false">IF(D85="","",SUMIFS(Tasks!$G$5:$G$48,Tasks!$B$5:$B$48,D85))</f>
        <v/>
      </c>
      <c r="F85" s="32"/>
      <c r="G85" s="32"/>
      <c r="H85" s="32"/>
    </row>
    <row r="86" customFormat="false" ht="15" hidden="false" customHeight="false" outlineLevel="0" collapsed="false">
      <c r="A86" s="31"/>
      <c r="B86" s="32"/>
      <c r="C86" s="33"/>
      <c r="D86" s="34"/>
      <c r="E86" s="35" t="str">
        <f aca="false">IF(D86="","",SUMIFS(Tasks!$G$5:$G$48,Tasks!$B$5:$B$48,D86))</f>
        <v/>
      </c>
      <c r="F86" s="32"/>
      <c r="G86" s="32"/>
      <c r="H86" s="32"/>
    </row>
    <row r="87" customFormat="false" ht="15" hidden="false" customHeight="false" outlineLevel="0" collapsed="false">
      <c r="A87" s="31"/>
      <c r="B87" s="32"/>
      <c r="C87" s="33"/>
      <c r="D87" s="34"/>
      <c r="E87" s="35" t="str">
        <f aca="false">IF(D87="","",SUMIFS(Tasks!$G$5:$G$48,Tasks!$B$5:$B$48,D87))</f>
        <v/>
      </c>
      <c r="F87" s="32"/>
      <c r="G87" s="32"/>
      <c r="H87" s="32"/>
    </row>
    <row r="88" customFormat="false" ht="15" hidden="false" customHeight="false" outlineLevel="0" collapsed="false">
      <c r="A88" s="31"/>
      <c r="B88" s="32"/>
      <c r="C88" s="33"/>
      <c r="D88" s="34"/>
      <c r="E88" s="35" t="str">
        <f aca="false">IF(D88="","",SUMIFS(Tasks!$G$5:$G$48,Tasks!$B$5:$B$48,D88))</f>
        <v/>
      </c>
      <c r="F88" s="32"/>
      <c r="G88" s="32"/>
      <c r="H88" s="32"/>
    </row>
    <row r="89" customFormat="false" ht="15" hidden="false" customHeight="false" outlineLevel="0" collapsed="false">
      <c r="A89" s="31"/>
      <c r="B89" s="32"/>
      <c r="C89" s="33"/>
      <c r="D89" s="34"/>
      <c r="E89" s="35" t="str">
        <f aca="false">IF(D89="","",SUMIFS(Tasks!$G$5:$G$48,Tasks!$B$5:$B$48,D89))</f>
        <v/>
      </c>
      <c r="F89" s="32"/>
      <c r="G89" s="32"/>
      <c r="H89" s="32"/>
    </row>
    <row r="90" customFormat="false" ht="15" hidden="false" customHeight="false" outlineLevel="0" collapsed="false">
      <c r="A90" s="31"/>
      <c r="B90" s="32"/>
      <c r="C90" s="33"/>
      <c r="D90" s="34"/>
      <c r="E90" s="35" t="str">
        <f aca="false">IF(D90="","",SUMIFS(Tasks!$G$5:$G$48,Tasks!$B$5:$B$48,D90))</f>
        <v/>
      </c>
      <c r="F90" s="32"/>
      <c r="G90" s="32"/>
      <c r="H90" s="32"/>
    </row>
    <row r="91" customFormat="false" ht="15" hidden="false" customHeight="false" outlineLevel="0" collapsed="false">
      <c r="A91" s="31"/>
      <c r="B91" s="32"/>
      <c r="C91" s="33"/>
      <c r="D91" s="34"/>
      <c r="E91" s="35" t="str">
        <f aca="false">IF(D91="","",SUMIFS(Tasks!$G$5:$G$48,Tasks!$B$5:$B$48,D91))</f>
        <v/>
      </c>
      <c r="F91" s="32"/>
      <c r="G91" s="32"/>
      <c r="H91" s="32"/>
    </row>
    <row r="92" customFormat="false" ht="15" hidden="false" customHeight="false" outlineLevel="0" collapsed="false">
      <c r="A92" s="31"/>
      <c r="B92" s="32"/>
      <c r="C92" s="33"/>
      <c r="D92" s="34"/>
      <c r="E92" s="35" t="str">
        <f aca="false">IF(D92="","",SUMIFS(Tasks!$G$5:$G$48,Tasks!$B$5:$B$48,D92))</f>
        <v/>
      </c>
      <c r="F92" s="32"/>
      <c r="G92" s="32"/>
      <c r="H92" s="32"/>
    </row>
    <row r="93" customFormat="false" ht="15" hidden="false" customHeight="false" outlineLevel="0" collapsed="false">
      <c r="A93" s="31"/>
      <c r="B93" s="32"/>
      <c r="C93" s="33"/>
      <c r="D93" s="34"/>
      <c r="E93" s="35" t="str">
        <f aca="false">IF(D93="","",SUMIFS(Tasks!$G$5:$G$48,Tasks!$B$5:$B$48,D93))</f>
        <v/>
      </c>
      <c r="F93" s="32"/>
      <c r="G93" s="32"/>
      <c r="H93" s="32"/>
    </row>
    <row r="94" customFormat="false" ht="15" hidden="false" customHeight="false" outlineLevel="0" collapsed="false">
      <c r="A94" s="31"/>
      <c r="B94" s="32"/>
      <c r="C94" s="33"/>
      <c r="D94" s="34"/>
      <c r="E94" s="35" t="str">
        <f aca="false">IF(D94="","",SUMIFS(Tasks!$G$5:$G$48,Tasks!$B$5:$B$48,D94))</f>
        <v/>
      </c>
      <c r="F94" s="32"/>
      <c r="G94" s="32"/>
      <c r="H94" s="32"/>
    </row>
    <row r="95" customFormat="false" ht="15" hidden="false" customHeight="false" outlineLevel="0" collapsed="false">
      <c r="A95" s="31"/>
      <c r="B95" s="32"/>
      <c r="C95" s="33"/>
      <c r="D95" s="34"/>
      <c r="E95" s="35" t="str">
        <f aca="false">IF(D95="","",SUMIFS(Tasks!$G$5:$G$48,Tasks!$B$5:$B$48,D95))</f>
        <v/>
      </c>
      <c r="F95" s="32"/>
      <c r="G95" s="32"/>
      <c r="H95" s="32"/>
    </row>
    <row r="96" customFormat="false" ht="15" hidden="false" customHeight="false" outlineLevel="0" collapsed="false">
      <c r="A96" s="31"/>
      <c r="B96" s="32"/>
      <c r="C96" s="33"/>
      <c r="D96" s="34"/>
      <c r="E96" s="35" t="str">
        <f aca="false">IF(D96="","",SUMIFS(Tasks!$G$5:$G$48,Tasks!$B$5:$B$48,D96))</f>
        <v/>
      </c>
      <c r="F96" s="32"/>
      <c r="G96" s="32"/>
      <c r="H96" s="32"/>
    </row>
    <row r="97" customFormat="false" ht="15" hidden="false" customHeight="false" outlineLevel="0" collapsed="false">
      <c r="A97" s="31"/>
      <c r="B97" s="32"/>
      <c r="C97" s="33"/>
      <c r="D97" s="34"/>
      <c r="E97" s="35" t="str">
        <f aca="false">IF(D97="","",SUMIFS(Tasks!$G$5:$G$48,Tasks!$B$5:$B$48,D97))</f>
        <v/>
      </c>
      <c r="F97" s="32"/>
      <c r="G97" s="32"/>
      <c r="H97" s="32"/>
    </row>
    <row r="98" customFormat="false" ht="15" hidden="false" customHeight="false" outlineLevel="0" collapsed="false">
      <c r="A98" s="31"/>
      <c r="B98" s="32"/>
      <c r="C98" s="33"/>
      <c r="D98" s="34"/>
      <c r="E98" s="35" t="str">
        <f aca="false">IF(D98="","",SUMIFS(Tasks!$G$5:$G$48,Tasks!$B$5:$B$48,D98))</f>
        <v/>
      </c>
      <c r="F98" s="32"/>
      <c r="G98" s="32"/>
      <c r="H98" s="32"/>
    </row>
    <row r="99" customFormat="false" ht="15" hidden="false" customHeight="false" outlineLevel="0" collapsed="false">
      <c r="A99" s="31"/>
      <c r="B99" s="32"/>
      <c r="C99" s="33"/>
      <c r="D99" s="34"/>
      <c r="E99" s="35" t="str">
        <f aca="false">IF(D99="","",SUMIFS(Tasks!$G$5:$G$48,Tasks!$B$5:$B$48,D99))</f>
        <v/>
      </c>
      <c r="F99" s="32"/>
      <c r="G99" s="32"/>
      <c r="H99" s="32"/>
    </row>
    <row r="100" customFormat="false" ht="15" hidden="false" customHeight="false" outlineLevel="0" collapsed="false">
      <c r="A100" s="31"/>
      <c r="B100" s="32"/>
      <c r="C100" s="33"/>
      <c r="D100" s="34"/>
      <c r="E100" s="35" t="str">
        <f aca="false">IF(D100="","",SUMIFS(Tasks!$G$5:$G$48,Tasks!$B$5:$B$48,D100))</f>
        <v/>
      </c>
      <c r="F100" s="32"/>
      <c r="G100" s="32"/>
      <c r="H100" s="32"/>
    </row>
    <row r="101" customFormat="false" ht="15" hidden="false" customHeight="false" outlineLevel="0" collapsed="false">
      <c r="A101" s="31"/>
      <c r="B101" s="32"/>
      <c r="C101" s="33"/>
      <c r="D101" s="34"/>
      <c r="E101" s="35" t="str">
        <f aca="false">IF(D101="","",SUMIFS(Tasks!$G$5:$G$48,Tasks!$B$5:$B$48,D101))</f>
        <v/>
      </c>
      <c r="F101" s="32"/>
      <c r="G101" s="32"/>
      <c r="H101" s="32"/>
    </row>
    <row r="102" customFormat="false" ht="15" hidden="false" customHeight="false" outlineLevel="0" collapsed="false">
      <c r="A102" s="31"/>
      <c r="B102" s="32"/>
      <c r="C102" s="33"/>
      <c r="D102" s="34"/>
      <c r="E102" s="35" t="str">
        <f aca="false">IF(D102="","",SUMIFS(Tasks!$G$5:$G$48,Tasks!$B$5:$B$48,D102))</f>
        <v/>
      </c>
      <c r="F102" s="32"/>
      <c r="G102" s="32"/>
      <c r="H102" s="32"/>
    </row>
    <row r="103" customFormat="false" ht="15" hidden="false" customHeight="false" outlineLevel="0" collapsed="false">
      <c r="A103" s="31"/>
      <c r="B103" s="32"/>
      <c r="C103" s="33"/>
      <c r="D103" s="34"/>
      <c r="E103" s="35" t="str">
        <f aca="false">IF(D103="","",SUMIFS(Tasks!$G$5:$G$48,Tasks!$B$5:$B$48,D103))</f>
        <v/>
      </c>
      <c r="F103" s="32"/>
      <c r="G103" s="32"/>
      <c r="H103" s="32"/>
    </row>
    <row r="104" customFormat="false" ht="15" hidden="false" customHeight="false" outlineLevel="0" collapsed="false">
      <c r="A104" s="31"/>
      <c r="B104" s="32"/>
      <c r="C104" s="33"/>
      <c r="D104" s="34"/>
      <c r="E104" s="35" t="str">
        <f aca="false">IF(D104="","",SUMIFS(Tasks!$G$5:$G$48,Tasks!$B$5:$B$48,D104))</f>
        <v/>
      </c>
      <c r="F104" s="32"/>
      <c r="G104" s="32"/>
      <c r="H104" s="32"/>
    </row>
    <row r="105" customFormat="false" ht="15" hidden="false" customHeight="false" outlineLevel="0" collapsed="false">
      <c r="A105" s="31"/>
      <c r="B105" s="32"/>
      <c r="C105" s="33"/>
      <c r="D105" s="34"/>
      <c r="E105" s="35" t="str">
        <f aca="false">IF(D105="","",SUMIFS(Tasks!$G$5:$G$48,Tasks!$B$5:$B$48,D105))</f>
        <v/>
      </c>
      <c r="F105" s="32"/>
      <c r="G105" s="32"/>
      <c r="H105" s="32"/>
    </row>
    <row r="106" customFormat="false" ht="15" hidden="false" customHeight="false" outlineLevel="0" collapsed="false">
      <c r="A106" s="31"/>
      <c r="B106" s="32"/>
      <c r="C106" s="33"/>
      <c r="D106" s="34"/>
      <c r="E106" s="35" t="str">
        <f aca="false">IF(D106="","",SUMIFS(Tasks!$G$5:$G$48,Tasks!$B$5:$B$48,D106))</f>
        <v/>
      </c>
      <c r="F106" s="32"/>
      <c r="G106" s="32"/>
      <c r="H106" s="32"/>
    </row>
    <row r="107" customFormat="false" ht="15" hidden="false" customHeight="false" outlineLevel="0" collapsed="false">
      <c r="A107" s="31"/>
      <c r="B107" s="32"/>
      <c r="C107" s="33"/>
      <c r="D107" s="34"/>
      <c r="E107" s="35" t="str">
        <f aca="false">IF(D107="","",SUMIFS(Tasks!$G$5:$G$48,Tasks!$B$5:$B$48,D107))</f>
        <v/>
      </c>
      <c r="F107" s="32"/>
      <c r="G107" s="32"/>
      <c r="H107" s="32"/>
    </row>
    <row r="108" customFormat="false" ht="15" hidden="false" customHeight="false" outlineLevel="0" collapsed="false">
      <c r="A108" s="31"/>
      <c r="B108" s="32"/>
      <c r="C108" s="33"/>
      <c r="D108" s="34"/>
      <c r="E108" s="35" t="str">
        <f aca="false">IF(D108="","",SUMIFS(Tasks!$G$5:$G$48,Tasks!$B$5:$B$48,D108))</f>
        <v/>
      </c>
      <c r="F108" s="32"/>
      <c r="G108" s="32"/>
      <c r="H108" s="32"/>
    </row>
    <row r="109" customFormat="false" ht="15" hidden="false" customHeight="false" outlineLevel="0" collapsed="false">
      <c r="A109" s="31"/>
      <c r="B109" s="32"/>
      <c r="C109" s="33"/>
      <c r="D109" s="34"/>
      <c r="E109" s="35" t="str">
        <f aca="false">IF(D109="","",SUMIFS(Tasks!$G$5:$G$48,Tasks!$B$5:$B$48,D109))</f>
        <v/>
      </c>
      <c r="F109" s="32"/>
      <c r="G109" s="32"/>
      <c r="H109" s="32"/>
    </row>
    <row r="110" customFormat="false" ht="15" hidden="false" customHeight="false" outlineLevel="0" collapsed="false">
      <c r="A110" s="31"/>
      <c r="B110" s="32"/>
      <c r="C110" s="33"/>
      <c r="D110" s="34"/>
      <c r="E110" s="35" t="str">
        <f aca="false">IF(D110="","",SUMIFS(Tasks!$G$5:$G$48,Tasks!$B$5:$B$48,D110))</f>
        <v/>
      </c>
      <c r="F110" s="32"/>
      <c r="G110" s="32"/>
      <c r="H110" s="32"/>
    </row>
    <row r="111" customFormat="false" ht="15" hidden="false" customHeight="false" outlineLevel="0" collapsed="false">
      <c r="A111" s="31"/>
      <c r="B111" s="32"/>
      <c r="C111" s="33"/>
      <c r="D111" s="34"/>
      <c r="E111" s="35" t="str">
        <f aca="false">IF(D111="","",SUMIFS(Tasks!$G$5:$G$48,Tasks!$B$5:$B$48,D111))</f>
        <v/>
      </c>
      <c r="F111" s="32"/>
      <c r="G111" s="32"/>
      <c r="H111" s="32"/>
    </row>
    <row r="112" customFormat="false" ht="15" hidden="false" customHeight="false" outlineLevel="0" collapsed="false">
      <c r="A112" s="31"/>
      <c r="B112" s="32"/>
      <c r="C112" s="33"/>
      <c r="D112" s="34"/>
      <c r="E112" s="35" t="str">
        <f aca="false">IF(D112="","",SUMIFS(Tasks!$G$5:$G$48,Tasks!$B$5:$B$48,D112))</f>
        <v/>
      </c>
      <c r="F112" s="32"/>
      <c r="G112" s="32"/>
      <c r="H112" s="32"/>
    </row>
    <row r="113" customFormat="false" ht="15" hidden="false" customHeight="false" outlineLevel="0" collapsed="false">
      <c r="A113" s="31"/>
      <c r="B113" s="32"/>
      <c r="C113" s="33"/>
      <c r="D113" s="34"/>
      <c r="E113" s="35" t="str">
        <f aca="false">IF(D113="","",SUMIFS(Tasks!$G$5:$G$48,Tasks!$B$5:$B$48,D113))</f>
        <v/>
      </c>
      <c r="F113" s="32"/>
      <c r="G113" s="32"/>
      <c r="H113" s="32"/>
    </row>
    <row r="114" customFormat="false" ht="15" hidden="false" customHeight="false" outlineLevel="0" collapsed="false">
      <c r="A114" s="31"/>
      <c r="B114" s="32"/>
      <c r="C114" s="33"/>
      <c r="D114" s="34"/>
      <c r="E114" s="35" t="str">
        <f aca="false">IF(D114="","",SUMIFS(Tasks!$G$5:$G$48,Tasks!$B$5:$B$48,D114))</f>
        <v/>
      </c>
      <c r="F114" s="32"/>
      <c r="G114" s="32"/>
      <c r="H114" s="32"/>
    </row>
    <row r="115" customFormat="false" ht="15" hidden="false" customHeight="false" outlineLevel="0" collapsed="false">
      <c r="A115" s="31"/>
      <c r="B115" s="32"/>
      <c r="C115" s="33"/>
      <c r="D115" s="34"/>
      <c r="E115" s="35" t="str">
        <f aca="false">IF(D115="","",SUMIFS(Tasks!$G$5:$G$48,Tasks!$B$5:$B$48,D115))</f>
        <v/>
      </c>
      <c r="F115" s="32"/>
      <c r="G115" s="32"/>
      <c r="H115" s="32"/>
    </row>
    <row r="116" customFormat="false" ht="15" hidden="false" customHeight="false" outlineLevel="0" collapsed="false">
      <c r="A116" s="31"/>
      <c r="B116" s="32"/>
      <c r="C116" s="33"/>
      <c r="D116" s="34"/>
      <c r="E116" s="35" t="str">
        <f aca="false">IF(D116="","",SUMIFS(Tasks!$G$5:$G$48,Tasks!$B$5:$B$48,D116))</f>
        <v/>
      </c>
      <c r="F116" s="32"/>
      <c r="G116" s="32"/>
      <c r="H116" s="32"/>
    </row>
    <row r="117" customFormat="false" ht="15" hidden="false" customHeight="false" outlineLevel="0" collapsed="false">
      <c r="A117" s="31"/>
      <c r="B117" s="32"/>
      <c r="C117" s="33"/>
      <c r="D117" s="34"/>
      <c r="E117" s="35" t="str">
        <f aca="false">IF(D117="","",SUMIFS(Tasks!$G$5:$G$48,Tasks!$B$5:$B$48,D117))</f>
        <v/>
      </c>
      <c r="F117" s="32"/>
      <c r="G117" s="32"/>
      <c r="H117" s="32"/>
    </row>
    <row r="118" customFormat="false" ht="15" hidden="false" customHeight="false" outlineLevel="0" collapsed="false">
      <c r="A118" s="31"/>
      <c r="B118" s="32"/>
      <c r="C118" s="33"/>
      <c r="D118" s="34"/>
      <c r="E118" s="35" t="str">
        <f aca="false">IF(D118="","",SUMIFS(Tasks!$G$5:$G$48,Tasks!$B$5:$B$48,D118))</f>
        <v/>
      </c>
      <c r="F118" s="32"/>
      <c r="G118" s="32"/>
      <c r="H118" s="32"/>
    </row>
    <row r="119" customFormat="false" ht="15" hidden="false" customHeight="false" outlineLevel="0" collapsed="false">
      <c r="A119" s="31"/>
      <c r="B119" s="32"/>
      <c r="C119" s="33"/>
      <c r="D119" s="34"/>
      <c r="E119" s="35" t="str">
        <f aca="false">IF(D119="","",SUMIFS(Tasks!$G$5:$G$48,Tasks!$B$5:$B$48,D119))</f>
        <v/>
      </c>
      <c r="F119" s="32"/>
      <c r="G119" s="32"/>
      <c r="H119" s="32"/>
    </row>
    <row r="120" customFormat="false" ht="15" hidden="false" customHeight="false" outlineLevel="0" collapsed="false">
      <c r="A120" s="31"/>
      <c r="B120" s="32"/>
      <c r="C120" s="33"/>
      <c r="D120" s="34"/>
      <c r="E120" s="35" t="str">
        <f aca="false">IF(D120="","",SUMIFS(Tasks!$G$5:$G$48,Tasks!$B$5:$B$48,D120))</f>
        <v/>
      </c>
      <c r="F120" s="32"/>
      <c r="G120" s="32"/>
      <c r="H120" s="32"/>
    </row>
    <row r="121" customFormat="false" ht="15" hidden="false" customHeight="false" outlineLevel="0" collapsed="false">
      <c r="A121" s="31"/>
      <c r="B121" s="32"/>
      <c r="C121" s="33"/>
      <c r="D121" s="34"/>
      <c r="E121" s="35" t="str">
        <f aca="false">IF(D121="","",SUMIFS(Tasks!$G$5:$G$48,Tasks!$B$5:$B$48,D121))</f>
        <v/>
      </c>
      <c r="F121" s="32"/>
      <c r="G121" s="32"/>
      <c r="H121" s="32"/>
    </row>
    <row r="122" customFormat="false" ht="15" hidden="false" customHeight="false" outlineLevel="0" collapsed="false">
      <c r="A122" s="31"/>
      <c r="B122" s="32"/>
      <c r="C122" s="33"/>
      <c r="D122" s="34"/>
      <c r="E122" s="35" t="str">
        <f aca="false">IF(D122="","",SUMIFS(Tasks!$G$5:$G$48,Tasks!$B$5:$B$48,D122))</f>
        <v/>
      </c>
      <c r="F122" s="32"/>
      <c r="G122" s="32"/>
      <c r="H122" s="32"/>
    </row>
    <row r="123" customFormat="false" ht="15" hidden="false" customHeight="false" outlineLevel="0" collapsed="false">
      <c r="A123" s="31"/>
      <c r="B123" s="32"/>
      <c r="C123" s="33"/>
      <c r="D123" s="34"/>
      <c r="E123" s="35" t="str">
        <f aca="false">IF(D123="","",SUMIFS(Tasks!$G$5:$G$48,Tasks!$B$5:$B$48,D123))</f>
        <v/>
      </c>
      <c r="F123" s="32"/>
      <c r="G123" s="32"/>
      <c r="H123" s="32"/>
    </row>
    <row r="124" customFormat="false" ht="15" hidden="false" customHeight="false" outlineLevel="0" collapsed="false">
      <c r="A124" s="31"/>
      <c r="B124" s="32"/>
      <c r="C124" s="33"/>
      <c r="D124" s="34"/>
      <c r="E124" s="35" t="str">
        <f aca="false">IF(D124="","",SUMIFS(Tasks!$G$5:$G$48,Tasks!$B$5:$B$48,D124))</f>
        <v/>
      </c>
      <c r="F124" s="32"/>
      <c r="G124" s="32"/>
      <c r="H124" s="32"/>
    </row>
    <row r="125" customFormat="false" ht="15" hidden="false" customHeight="false" outlineLevel="0" collapsed="false">
      <c r="A125" s="31"/>
      <c r="B125" s="32"/>
      <c r="C125" s="33"/>
      <c r="D125" s="34"/>
      <c r="E125" s="35" t="str">
        <f aca="false">IF(D125="","",SUMIFS(Tasks!$G$5:$G$48,Tasks!$B$5:$B$48,D125))</f>
        <v/>
      </c>
      <c r="F125" s="32"/>
      <c r="G125" s="32"/>
      <c r="H125" s="32"/>
    </row>
    <row r="126" customFormat="false" ht="15" hidden="false" customHeight="false" outlineLevel="0" collapsed="false">
      <c r="A126" s="31"/>
      <c r="B126" s="32"/>
      <c r="C126" s="33"/>
      <c r="D126" s="34"/>
      <c r="E126" s="35" t="str">
        <f aca="false">IF(D126="","",SUMIFS(Tasks!$G$5:$G$48,Tasks!$B$5:$B$48,D126))</f>
        <v/>
      </c>
      <c r="F126" s="32"/>
      <c r="G126" s="32"/>
      <c r="H126" s="32"/>
    </row>
    <row r="127" customFormat="false" ht="15" hidden="false" customHeight="false" outlineLevel="0" collapsed="false">
      <c r="A127" s="31"/>
      <c r="B127" s="32"/>
      <c r="C127" s="33"/>
      <c r="D127" s="34"/>
      <c r="E127" s="35" t="str">
        <f aca="false">IF(D127="","",SUMIFS(Tasks!$G$5:$G$48,Tasks!$B$5:$B$48,D127))</f>
        <v/>
      </c>
      <c r="F127" s="32"/>
      <c r="G127" s="32"/>
      <c r="H127" s="32"/>
    </row>
    <row r="128" customFormat="false" ht="15" hidden="false" customHeight="false" outlineLevel="0" collapsed="false">
      <c r="A128" s="31"/>
      <c r="B128" s="32"/>
      <c r="C128" s="33"/>
      <c r="D128" s="34"/>
      <c r="E128" s="35" t="str">
        <f aca="false">IF(D128="","",SUMIFS(Tasks!$G$5:$G$48,Tasks!$B$5:$B$48,D128))</f>
        <v/>
      </c>
      <c r="F128" s="32"/>
      <c r="G128" s="32"/>
      <c r="H128" s="32"/>
    </row>
    <row r="129" customFormat="false" ht="15" hidden="false" customHeight="false" outlineLevel="0" collapsed="false">
      <c r="A129" s="31"/>
      <c r="B129" s="32"/>
      <c r="C129" s="33"/>
      <c r="D129" s="34"/>
      <c r="E129" s="35" t="str">
        <f aca="false">IF(D129="","",SUMIFS(Tasks!$G$5:$G$48,Tasks!$B$5:$B$48,D129))</f>
        <v/>
      </c>
      <c r="F129" s="32"/>
      <c r="G129" s="32"/>
      <c r="H129" s="32"/>
    </row>
    <row r="130" customFormat="false" ht="15" hidden="false" customHeight="false" outlineLevel="0" collapsed="false">
      <c r="A130" s="31"/>
      <c r="B130" s="32"/>
      <c r="C130" s="33"/>
      <c r="D130" s="34"/>
      <c r="E130" s="35" t="str">
        <f aca="false">IF(D130="","",SUMIFS(Tasks!$G$5:$G$48,Tasks!$B$5:$B$48,D130))</f>
        <v/>
      </c>
      <c r="F130" s="32"/>
      <c r="G130" s="32"/>
      <c r="H130" s="32"/>
    </row>
    <row r="131" customFormat="false" ht="15" hidden="false" customHeight="false" outlineLevel="0" collapsed="false">
      <c r="A131" s="31"/>
      <c r="B131" s="32"/>
      <c r="C131" s="33"/>
      <c r="D131" s="34"/>
      <c r="E131" s="35" t="str">
        <f aca="false">IF(D131="","",SUMIFS(Tasks!$G$5:$G$48,Tasks!$B$5:$B$48,D131))</f>
        <v/>
      </c>
      <c r="F131" s="32"/>
      <c r="G131" s="32"/>
      <c r="H131" s="32"/>
    </row>
    <row r="132" customFormat="false" ht="15" hidden="false" customHeight="false" outlineLevel="0" collapsed="false">
      <c r="A132" s="31"/>
      <c r="B132" s="32"/>
      <c r="C132" s="33"/>
      <c r="D132" s="34"/>
      <c r="E132" s="35" t="str">
        <f aca="false">IF(D132="","",SUMIFS(Tasks!$G$5:$G$48,Tasks!$B$5:$B$48,D132))</f>
        <v/>
      </c>
      <c r="F132" s="32"/>
      <c r="G132" s="32"/>
      <c r="H132" s="32"/>
    </row>
    <row r="133" customFormat="false" ht="15" hidden="false" customHeight="false" outlineLevel="0" collapsed="false">
      <c r="A133" s="31"/>
      <c r="B133" s="32"/>
      <c r="C133" s="33"/>
      <c r="D133" s="34"/>
      <c r="E133" s="35" t="str">
        <f aca="false">IF(D133="","",SUMIFS(Tasks!$G$5:$G$48,Tasks!$B$5:$B$48,D133))</f>
        <v/>
      </c>
      <c r="F133" s="32"/>
      <c r="G133" s="32"/>
      <c r="H133" s="32"/>
    </row>
    <row r="134" customFormat="false" ht="15" hidden="false" customHeight="false" outlineLevel="0" collapsed="false">
      <c r="A134" s="31"/>
      <c r="B134" s="32"/>
      <c r="C134" s="33"/>
      <c r="D134" s="34"/>
      <c r="E134" s="35" t="str">
        <f aca="false">IF(D134="","",SUMIFS(Tasks!$G$5:$G$48,Tasks!$B$5:$B$48,D134))</f>
        <v/>
      </c>
      <c r="F134" s="32"/>
      <c r="G134" s="32"/>
      <c r="H134" s="32"/>
    </row>
    <row r="135" customFormat="false" ht="15" hidden="false" customHeight="false" outlineLevel="0" collapsed="false">
      <c r="A135" s="31"/>
      <c r="B135" s="32"/>
      <c r="C135" s="33"/>
      <c r="D135" s="34"/>
      <c r="E135" s="35" t="str">
        <f aca="false">IF(D135="","",SUMIFS(Tasks!$G$5:$G$48,Tasks!$B$5:$B$48,D135))</f>
        <v/>
      </c>
      <c r="F135" s="32"/>
      <c r="G135" s="32"/>
      <c r="H135" s="32"/>
    </row>
    <row r="136" customFormat="false" ht="15" hidden="false" customHeight="false" outlineLevel="0" collapsed="false">
      <c r="A136" s="31"/>
      <c r="B136" s="32"/>
      <c r="C136" s="33"/>
      <c r="D136" s="34"/>
      <c r="E136" s="35" t="str">
        <f aca="false">IF(D136="","",SUMIFS(Tasks!$G$5:$G$48,Tasks!$B$5:$B$48,D136))</f>
        <v/>
      </c>
      <c r="F136" s="32"/>
      <c r="G136" s="32"/>
      <c r="H136" s="32"/>
    </row>
    <row r="137" customFormat="false" ht="15" hidden="false" customHeight="false" outlineLevel="0" collapsed="false">
      <c r="A137" s="31"/>
      <c r="B137" s="32"/>
      <c r="C137" s="33"/>
      <c r="D137" s="34"/>
      <c r="E137" s="35" t="str">
        <f aca="false">IF(D137="","",SUMIFS(Tasks!$G$5:$G$48,Tasks!$B$5:$B$48,D137))</f>
        <v/>
      </c>
      <c r="F137" s="32"/>
      <c r="G137" s="32"/>
      <c r="H137" s="32"/>
    </row>
    <row r="138" customFormat="false" ht="15" hidden="false" customHeight="false" outlineLevel="0" collapsed="false">
      <c r="A138" s="31"/>
      <c r="B138" s="32"/>
      <c r="C138" s="33"/>
      <c r="D138" s="34"/>
      <c r="E138" s="35" t="str">
        <f aca="false">IF(D138="","",SUMIFS(Tasks!$G$5:$G$48,Tasks!$B$5:$B$48,D138))</f>
        <v/>
      </c>
      <c r="F138" s="32"/>
      <c r="G138" s="32"/>
      <c r="H138" s="32"/>
    </row>
    <row r="139" customFormat="false" ht="15" hidden="false" customHeight="false" outlineLevel="0" collapsed="false">
      <c r="A139" s="31"/>
      <c r="B139" s="32"/>
      <c r="C139" s="33"/>
      <c r="D139" s="34"/>
      <c r="E139" s="35" t="str">
        <f aca="false">IF(D139="","",SUMIFS(Tasks!$G$5:$G$48,Tasks!$B$5:$B$48,D139))</f>
        <v/>
      </c>
      <c r="F139" s="32"/>
      <c r="G139" s="32"/>
      <c r="H139" s="32"/>
    </row>
    <row r="140" customFormat="false" ht="15" hidden="false" customHeight="false" outlineLevel="0" collapsed="false">
      <c r="A140" s="31"/>
      <c r="B140" s="32"/>
      <c r="C140" s="33"/>
      <c r="D140" s="34"/>
      <c r="E140" s="35" t="str">
        <f aca="false">IF(D140="","",SUMIFS(Tasks!$G$5:$G$48,Tasks!$B$5:$B$48,D140))</f>
        <v/>
      </c>
      <c r="F140" s="32"/>
      <c r="G140" s="32"/>
      <c r="H140" s="32"/>
    </row>
    <row r="141" customFormat="false" ht="15" hidden="false" customHeight="false" outlineLevel="0" collapsed="false">
      <c r="A141" s="31"/>
      <c r="B141" s="32"/>
      <c r="C141" s="33"/>
      <c r="D141" s="34"/>
      <c r="E141" s="35" t="str">
        <f aca="false">IF(D141="","",SUMIFS(Tasks!$G$5:$G$48,Tasks!$B$5:$B$48,D141))</f>
        <v/>
      </c>
      <c r="F141" s="32"/>
      <c r="G141" s="32"/>
      <c r="H141" s="32"/>
    </row>
    <row r="142" customFormat="false" ht="15" hidden="false" customHeight="false" outlineLevel="0" collapsed="false">
      <c r="A142" s="31"/>
      <c r="B142" s="32"/>
      <c r="C142" s="33"/>
      <c r="D142" s="34"/>
      <c r="E142" s="35" t="str">
        <f aca="false">IF(D142="","",SUMIFS(Tasks!$G$5:$G$48,Tasks!$B$5:$B$48,D142))</f>
        <v/>
      </c>
      <c r="F142" s="32"/>
      <c r="G142" s="32"/>
      <c r="H142" s="32"/>
    </row>
    <row r="143" customFormat="false" ht="15" hidden="false" customHeight="false" outlineLevel="0" collapsed="false">
      <c r="A143" s="31"/>
      <c r="B143" s="32"/>
      <c r="C143" s="33"/>
      <c r="D143" s="34"/>
      <c r="E143" s="35" t="str">
        <f aca="false">IF(D143="","",SUMIFS(Tasks!$G$5:$G$48,Tasks!$B$5:$B$48,D143))</f>
        <v/>
      </c>
      <c r="F143" s="32"/>
      <c r="G143" s="32"/>
      <c r="H143" s="32"/>
    </row>
    <row r="144" customFormat="false" ht="15" hidden="false" customHeight="false" outlineLevel="0" collapsed="false">
      <c r="A144" s="31"/>
      <c r="B144" s="32"/>
      <c r="C144" s="33"/>
      <c r="D144" s="34"/>
      <c r="E144" s="35" t="str">
        <f aca="false">IF(D144="","",SUMIFS(Tasks!$G$5:$G$48,Tasks!$B$5:$B$48,D144))</f>
        <v/>
      </c>
      <c r="F144" s="32"/>
      <c r="G144" s="32"/>
      <c r="H144" s="32"/>
    </row>
    <row r="145" customFormat="false" ht="15" hidden="false" customHeight="false" outlineLevel="0" collapsed="false">
      <c r="A145" s="31"/>
      <c r="B145" s="32"/>
      <c r="C145" s="33"/>
      <c r="D145" s="34"/>
      <c r="E145" s="35" t="str">
        <f aca="false">IF(D145="","",SUMIFS(Tasks!$G$5:$G$48,Tasks!$B$5:$B$48,D145))</f>
        <v/>
      </c>
      <c r="F145" s="32"/>
      <c r="G145" s="32"/>
      <c r="H145" s="32"/>
    </row>
    <row r="146" customFormat="false" ht="15" hidden="false" customHeight="false" outlineLevel="0" collapsed="false">
      <c r="A146" s="31"/>
      <c r="B146" s="32"/>
      <c r="C146" s="33"/>
      <c r="D146" s="34"/>
      <c r="E146" s="35" t="str">
        <f aca="false">IF(D146="","",SUMIFS(Tasks!$G$5:$G$48,Tasks!$B$5:$B$48,D146))</f>
        <v/>
      </c>
      <c r="F146" s="32"/>
      <c r="G146" s="32"/>
      <c r="H146" s="32"/>
    </row>
    <row r="147" customFormat="false" ht="15" hidden="false" customHeight="false" outlineLevel="0" collapsed="false">
      <c r="A147" s="31"/>
      <c r="B147" s="32"/>
      <c r="C147" s="33"/>
      <c r="D147" s="34"/>
      <c r="E147" s="35" t="str">
        <f aca="false">IF(D147="","",SUMIFS(Tasks!$G$5:$G$48,Tasks!$B$5:$B$48,D147))</f>
        <v/>
      </c>
      <c r="F147" s="32"/>
      <c r="G147" s="32"/>
      <c r="H147" s="32"/>
    </row>
    <row r="148" customFormat="false" ht="15" hidden="false" customHeight="false" outlineLevel="0" collapsed="false">
      <c r="A148" s="31"/>
      <c r="B148" s="32"/>
      <c r="C148" s="33"/>
      <c r="D148" s="34"/>
      <c r="E148" s="35" t="str">
        <f aca="false">IF(D148="","",SUMIFS(Tasks!$G$5:$G$48,Tasks!$B$5:$B$48,D148))</f>
        <v/>
      </c>
      <c r="F148" s="32"/>
      <c r="G148" s="32"/>
      <c r="H148" s="32"/>
    </row>
    <row r="149" customFormat="false" ht="15" hidden="false" customHeight="false" outlineLevel="0" collapsed="false">
      <c r="A149" s="31"/>
      <c r="B149" s="32"/>
      <c r="C149" s="33"/>
      <c r="D149" s="34"/>
      <c r="E149" s="35" t="str">
        <f aca="false">IF(D149="","",SUMIFS(Tasks!$G$5:$G$48,Tasks!$B$5:$B$48,D149))</f>
        <v/>
      </c>
      <c r="F149" s="32"/>
      <c r="G149" s="32"/>
      <c r="H149" s="32"/>
    </row>
    <row r="150" customFormat="false" ht="15" hidden="false" customHeight="false" outlineLevel="0" collapsed="false">
      <c r="A150" s="31"/>
      <c r="B150" s="32"/>
      <c r="C150" s="33"/>
      <c r="D150" s="34"/>
      <c r="E150" s="35" t="str">
        <f aca="false">IF(D150="","",SUMIFS(Tasks!$G$5:$G$48,Tasks!$B$5:$B$48,D150))</f>
        <v/>
      </c>
      <c r="F150" s="32"/>
      <c r="G150" s="32"/>
      <c r="H150" s="32"/>
    </row>
    <row r="151" customFormat="false" ht="15" hidden="false" customHeight="false" outlineLevel="0" collapsed="false">
      <c r="A151" s="31"/>
      <c r="B151" s="32"/>
      <c r="C151" s="33"/>
      <c r="D151" s="34"/>
      <c r="E151" s="35" t="str">
        <f aca="false">IF(D151="","",SUMIFS(Tasks!$G$5:$G$48,Tasks!$B$5:$B$48,D151))</f>
        <v/>
      </c>
      <c r="F151" s="32"/>
      <c r="G151" s="32"/>
      <c r="H151" s="32"/>
    </row>
    <row r="152" customFormat="false" ht="15" hidden="false" customHeight="false" outlineLevel="0" collapsed="false">
      <c r="A152" s="31"/>
      <c r="B152" s="32"/>
      <c r="C152" s="33"/>
      <c r="D152" s="34"/>
      <c r="E152" s="35" t="str">
        <f aca="false">IF(D152="","",SUMIFS(Tasks!$G$5:$G$48,Tasks!$B$5:$B$48,D152))</f>
        <v/>
      </c>
      <c r="F152" s="32"/>
      <c r="G152" s="32"/>
      <c r="H152" s="32"/>
    </row>
    <row r="153" customFormat="false" ht="15" hidden="false" customHeight="false" outlineLevel="0" collapsed="false">
      <c r="A153" s="31"/>
      <c r="B153" s="32"/>
      <c r="C153" s="33"/>
      <c r="D153" s="34"/>
      <c r="E153" s="35" t="str">
        <f aca="false">IF(D153="","",SUMIFS(Tasks!$G$5:$G$48,Tasks!$B$5:$B$48,D153))</f>
        <v/>
      </c>
      <c r="F153" s="32"/>
      <c r="G153" s="32"/>
      <c r="H153" s="32"/>
    </row>
    <row r="154" customFormat="false" ht="15" hidden="false" customHeight="false" outlineLevel="0" collapsed="false">
      <c r="A154" s="31"/>
      <c r="B154" s="32"/>
      <c r="C154" s="33"/>
      <c r="D154" s="34"/>
      <c r="E154" s="35" t="str">
        <f aca="false">IF(D154="","",SUMIFS(Tasks!$G$5:$G$48,Tasks!$B$5:$B$48,D154))</f>
        <v/>
      </c>
      <c r="F154" s="32"/>
      <c r="G154" s="32"/>
      <c r="H154" s="32"/>
    </row>
    <row r="155" customFormat="false" ht="15" hidden="false" customHeight="false" outlineLevel="0" collapsed="false">
      <c r="A155" s="31"/>
      <c r="B155" s="32"/>
      <c r="C155" s="33"/>
      <c r="D155" s="34"/>
      <c r="E155" s="35" t="str">
        <f aca="false">IF(D155="","",SUMIFS(Tasks!$G$5:$G$48,Tasks!$B$5:$B$48,D155))</f>
        <v/>
      </c>
      <c r="F155" s="32"/>
      <c r="G155" s="32"/>
      <c r="H155" s="32"/>
    </row>
    <row r="156" customFormat="false" ht="15" hidden="false" customHeight="false" outlineLevel="0" collapsed="false">
      <c r="A156" s="31"/>
      <c r="B156" s="32"/>
      <c r="C156" s="33"/>
      <c r="D156" s="34"/>
      <c r="E156" s="35" t="str">
        <f aca="false">IF(D156="","",SUMIFS(Tasks!$G$5:$G$48,Tasks!$B$5:$B$48,D156))</f>
        <v/>
      </c>
      <c r="F156" s="32"/>
      <c r="G156" s="32"/>
      <c r="H156" s="32"/>
    </row>
    <row r="157" customFormat="false" ht="15" hidden="false" customHeight="false" outlineLevel="0" collapsed="false">
      <c r="A157" s="31"/>
      <c r="B157" s="32"/>
      <c r="C157" s="33"/>
      <c r="D157" s="34"/>
      <c r="E157" s="35" t="str">
        <f aca="false">IF(D157="","",SUMIFS(Tasks!$G$5:$G$48,Tasks!$B$5:$B$48,D157))</f>
        <v/>
      </c>
      <c r="F157" s="32"/>
      <c r="G157" s="32"/>
      <c r="H157" s="32"/>
    </row>
    <row r="158" customFormat="false" ht="15" hidden="false" customHeight="false" outlineLevel="0" collapsed="false">
      <c r="A158" s="31"/>
      <c r="B158" s="32"/>
      <c r="C158" s="33"/>
      <c r="D158" s="34"/>
      <c r="E158" s="35" t="str">
        <f aca="false">IF(D158="","",SUMIFS(Tasks!$G$5:$G$48,Tasks!$B$5:$B$48,D158))</f>
        <v/>
      </c>
      <c r="F158" s="32"/>
      <c r="G158" s="32"/>
      <c r="H158" s="32"/>
    </row>
    <row r="159" customFormat="false" ht="15" hidden="false" customHeight="false" outlineLevel="0" collapsed="false">
      <c r="A159" s="31"/>
      <c r="B159" s="32"/>
      <c r="C159" s="33"/>
      <c r="D159" s="34"/>
      <c r="E159" s="35" t="str">
        <f aca="false">IF(D159="","",SUMIFS(Tasks!$G$5:$G$48,Tasks!$B$5:$B$48,D159))</f>
        <v/>
      </c>
      <c r="F159" s="32"/>
      <c r="G159" s="32"/>
      <c r="H159" s="32"/>
    </row>
    <row r="160" customFormat="false" ht="15" hidden="false" customHeight="false" outlineLevel="0" collapsed="false">
      <c r="A160" s="31"/>
      <c r="B160" s="32"/>
      <c r="C160" s="33"/>
      <c r="D160" s="34"/>
      <c r="E160" s="35" t="str">
        <f aca="false">IF(D160="","",SUMIFS(Tasks!$G$5:$G$48,Tasks!$B$5:$B$48,D160))</f>
        <v/>
      </c>
      <c r="F160" s="32"/>
      <c r="G160" s="32"/>
      <c r="H160" s="32"/>
    </row>
    <row r="161" customFormat="false" ht="15" hidden="false" customHeight="false" outlineLevel="0" collapsed="false">
      <c r="A161" s="31"/>
      <c r="B161" s="32"/>
      <c r="C161" s="33"/>
      <c r="D161" s="34"/>
      <c r="E161" s="35" t="str">
        <f aca="false">IF(D161="","",SUMIFS(Tasks!$G$5:$G$48,Tasks!$B$5:$B$48,D161))</f>
        <v/>
      </c>
      <c r="F161" s="32"/>
      <c r="G161" s="32"/>
      <c r="H161" s="32"/>
    </row>
    <row r="162" customFormat="false" ht="15" hidden="false" customHeight="false" outlineLevel="0" collapsed="false">
      <c r="A162" s="31"/>
      <c r="B162" s="32"/>
      <c r="C162" s="33"/>
      <c r="D162" s="34"/>
      <c r="E162" s="35" t="str">
        <f aca="false">IF(D162="","",SUMIFS(Tasks!$G$5:$G$48,Tasks!$B$5:$B$48,D162))</f>
        <v/>
      </c>
      <c r="F162" s="32"/>
      <c r="G162" s="32"/>
      <c r="H162" s="32"/>
    </row>
    <row r="163" customFormat="false" ht="15" hidden="false" customHeight="false" outlineLevel="0" collapsed="false">
      <c r="A163" s="31"/>
      <c r="B163" s="32"/>
      <c r="C163" s="33"/>
      <c r="D163" s="34"/>
      <c r="E163" s="35" t="str">
        <f aca="false">IF(D163="","",SUMIFS(Tasks!$G$5:$G$48,Tasks!$B$5:$B$48,D163))</f>
        <v/>
      </c>
      <c r="F163" s="32"/>
      <c r="G163" s="32"/>
      <c r="H163" s="32"/>
    </row>
    <row r="164" customFormat="false" ht="15" hidden="false" customHeight="false" outlineLevel="0" collapsed="false">
      <c r="A164" s="31"/>
      <c r="B164" s="32"/>
      <c r="C164" s="33"/>
      <c r="D164" s="34"/>
      <c r="E164" s="35" t="str">
        <f aca="false">IF(D164="","",SUMIFS(Tasks!$G$5:$G$48,Tasks!$B$5:$B$48,D164))</f>
        <v/>
      </c>
      <c r="F164" s="32"/>
      <c r="G164" s="32"/>
      <c r="H164" s="32"/>
    </row>
    <row r="165" customFormat="false" ht="15" hidden="false" customHeight="false" outlineLevel="0" collapsed="false">
      <c r="A165" s="31"/>
      <c r="B165" s="32"/>
      <c r="C165" s="33"/>
      <c r="D165" s="34"/>
      <c r="E165" s="35" t="str">
        <f aca="false">IF(D165="","",SUMIFS(Tasks!$G$5:$G$48,Tasks!$B$5:$B$48,D165))</f>
        <v/>
      </c>
      <c r="F165" s="32"/>
      <c r="G165" s="32"/>
      <c r="H165" s="32"/>
    </row>
    <row r="166" customFormat="false" ht="15" hidden="false" customHeight="false" outlineLevel="0" collapsed="false">
      <c r="A166" s="31"/>
      <c r="B166" s="32"/>
      <c r="C166" s="33"/>
      <c r="D166" s="34"/>
      <c r="E166" s="35" t="str">
        <f aca="false">IF(D166="","",SUMIFS(Tasks!$G$5:$G$48,Tasks!$B$5:$B$48,D166))</f>
        <v/>
      </c>
      <c r="F166" s="32"/>
      <c r="G166" s="32"/>
      <c r="H166" s="32"/>
    </row>
    <row r="167" customFormat="false" ht="15" hidden="false" customHeight="false" outlineLevel="0" collapsed="false">
      <c r="A167" s="31"/>
      <c r="B167" s="32"/>
      <c r="C167" s="33"/>
      <c r="D167" s="34"/>
      <c r="E167" s="35" t="str">
        <f aca="false">IF(D167="","",SUMIFS(Tasks!$G$5:$G$48,Tasks!$B$5:$B$48,D167))</f>
        <v/>
      </c>
      <c r="F167" s="32"/>
      <c r="G167" s="32"/>
      <c r="H167" s="32"/>
    </row>
    <row r="168" customFormat="false" ht="15" hidden="false" customHeight="false" outlineLevel="0" collapsed="false">
      <c r="A168" s="31"/>
      <c r="B168" s="32"/>
      <c r="C168" s="33"/>
      <c r="D168" s="34"/>
      <c r="E168" s="35" t="str">
        <f aca="false">IF(D168="","",SUMIFS(Tasks!$G$5:$G$48,Tasks!$B$5:$B$48,D168))</f>
        <v/>
      </c>
      <c r="F168" s="32"/>
      <c r="G168" s="32"/>
      <c r="H168" s="32"/>
    </row>
    <row r="169" customFormat="false" ht="15" hidden="false" customHeight="false" outlineLevel="0" collapsed="false">
      <c r="A169" s="31"/>
      <c r="B169" s="32"/>
      <c r="C169" s="33"/>
      <c r="D169" s="34"/>
      <c r="E169" s="35" t="str">
        <f aca="false">IF(D169="","",SUMIFS(Tasks!$G$5:$G$48,Tasks!$B$5:$B$48,D169))</f>
        <v/>
      </c>
      <c r="F169" s="32"/>
      <c r="G169" s="32"/>
      <c r="H169" s="32"/>
    </row>
    <row r="170" customFormat="false" ht="15" hidden="false" customHeight="false" outlineLevel="0" collapsed="false">
      <c r="A170" s="31"/>
      <c r="B170" s="32"/>
      <c r="C170" s="33"/>
      <c r="D170" s="34"/>
      <c r="E170" s="35" t="str">
        <f aca="false">IF(D170="","",SUMIFS(Tasks!$G$5:$G$48,Tasks!$B$5:$B$48,D170))</f>
        <v/>
      </c>
      <c r="F170" s="32"/>
      <c r="G170" s="32"/>
      <c r="H170" s="32"/>
    </row>
    <row r="171" customFormat="false" ht="15" hidden="false" customHeight="false" outlineLevel="0" collapsed="false">
      <c r="A171" s="31"/>
      <c r="B171" s="32"/>
      <c r="C171" s="33"/>
      <c r="D171" s="34"/>
      <c r="E171" s="35" t="str">
        <f aca="false">IF(D171="","",SUMIFS(Tasks!$G$5:$G$48,Tasks!$B$5:$B$48,D171))</f>
        <v/>
      </c>
      <c r="F171" s="32"/>
      <c r="G171" s="32"/>
      <c r="H171" s="32"/>
    </row>
    <row r="172" customFormat="false" ht="15" hidden="false" customHeight="false" outlineLevel="0" collapsed="false">
      <c r="A172" s="31"/>
      <c r="B172" s="32"/>
      <c r="C172" s="33"/>
      <c r="D172" s="34"/>
      <c r="E172" s="35" t="str">
        <f aca="false">IF(D172="","",SUMIFS(Tasks!$G$5:$G$48,Tasks!$B$5:$B$48,D172))</f>
        <v/>
      </c>
      <c r="F172" s="32"/>
      <c r="G172" s="32"/>
      <c r="H172" s="32"/>
    </row>
    <row r="173" customFormat="false" ht="15" hidden="false" customHeight="false" outlineLevel="0" collapsed="false">
      <c r="A173" s="31"/>
      <c r="B173" s="32"/>
      <c r="C173" s="33"/>
      <c r="D173" s="34"/>
      <c r="E173" s="35" t="str">
        <f aca="false">IF(D173="","",SUMIFS(Tasks!$G$5:$G$48,Tasks!$B$5:$B$48,D173))</f>
        <v/>
      </c>
      <c r="F173" s="32"/>
      <c r="G173" s="32"/>
      <c r="H173" s="32"/>
    </row>
    <row r="174" customFormat="false" ht="15" hidden="false" customHeight="false" outlineLevel="0" collapsed="false">
      <c r="A174" s="31"/>
      <c r="B174" s="32"/>
      <c r="C174" s="33"/>
      <c r="D174" s="34"/>
      <c r="E174" s="35" t="str">
        <f aca="false">IF(D174="","",SUMIFS(Tasks!$G$5:$G$48,Tasks!$B$5:$B$48,D174))</f>
        <v/>
      </c>
      <c r="F174" s="32"/>
      <c r="G174" s="32"/>
      <c r="H174" s="32"/>
    </row>
    <row r="175" customFormat="false" ht="15" hidden="false" customHeight="false" outlineLevel="0" collapsed="false">
      <c r="A175" s="31"/>
      <c r="B175" s="32"/>
      <c r="C175" s="33"/>
      <c r="D175" s="34"/>
      <c r="E175" s="35" t="str">
        <f aca="false">IF(D175="","",SUMIFS(Tasks!$G$5:$G$48,Tasks!$B$5:$B$48,D175))</f>
        <v/>
      </c>
      <c r="F175" s="32"/>
      <c r="G175" s="32"/>
      <c r="H175" s="32"/>
    </row>
    <row r="176" customFormat="false" ht="15" hidden="false" customHeight="false" outlineLevel="0" collapsed="false">
      <c r="A176" s="31"/>
      <c r="B176" s="32"/>
      <c r="C176" s="33"/>
      <c r="D176" s="34"/>
      <c r="E176" s="35" t="str">
        <f aca="false">IF(D176="","",SUMIFS(Tasks!$G$5:$G$48,Tasks!$B$5:$B$48,D176))</f>
        <v/>
      </c>
      <c r="F176" s="32"/>
      <c r="G176" s="32"/>
      <c r="H176" s="32"/>
    </row>
    <row r="177" customFormat="false" ht="15" hidden="false" customHeight="false" outlineLevel="0" collapsed="false">
      <c r="A177" s="31"/>
      <c r="B177" s="32"/>
      <c r="C177" s="33"/>
      <c r="D177" s="34"/>
      <c r="E177" s="35" t="str">
        <f aca="false">IF(D177="","",SUMIFS(Tasks!$G$5:$G$48,Tasks!$B$5:$B$48,D177))</f>
        <v/>
      </c>
      <c r="F177" s="32"/>
      <c r="G177" s="32"/>
      <c r="H177" s="32"/>
    </row>
    <row r="178" customFormat="false" ht="15" hidden="false" customHeight="false" outlineLevel="0" collapsed="false">
      <c r="A178" s="31"/>
      <c r="B178" s="32"/>
      <c r="C178" s="33"/>
      <c r="D178" s="34"/>
      <c r="E178" s="35" t="str">
        <f aca="false">IF(D178="","",SUMIFS(Tasks!$G$5:$G$48,Tasks!$B$5:$B$48,D178))</f>
        <v/>
      </c>
      <c r="F178" s="32"/>
      <c r="G178" s="32"/>
      <c r="H178" s="32"/>
    </row>
    <row r="179" customFormat="false" ht="15" hidden="false" customHeight="false" outlineLevel="0" collapsed="false">
      <c r="A179" s="31"/>
      <c r="B179" s="32"/>
      <c r="C179" s="33"/>
      <c r="D179" s="34"/>
      <c r="E179" s="35" t="str">
        <f aca="false">IF(D179="","",SUMIFS(Tasks!$G$5:$G$48,Tasks!$B$5:$B$48,D179))</f>
        <v/>
      </c>
      <c r="F179" s="32"/>
      <c r="G179" s="32"/>
      <c r="H179" s="32"/>
    </row>
    <row r="180" customFormat="false" ht="15" hidden="false" customHeight="false" outlineLevel="0" collapsed="false">
      <c r="A180" s="31"/>
      <c r="B180" s="32"/>
      <c r="C180" s="33"/>
      <c r="D180" s="34"/>
      <c r="E180" s="35" t="str">
        <f aca="false">IF(D180="","",SUMIFS(Tasks!$G$5:$G$48,Tasks!$B$5:$B$48,D180))</f>
        <v/>
      </c>
      <c r="F180" s="32"/>
      <c r="G180" s="32"/>
      <c r="H180" s="32"/>
    </row>
    <row r="181" customFormat="false" ht="15" hidden="false" customHeight="false" outlineLevel="0" collapsed="false">
      <c r="A181" s="31"/>
      <c r="B181" s="32"/>
      <c r="C181" s="33"/>
      <c r="D181" s="34"/>
      <c r="E181" s="35" t="str">
        <f aca="false">IF(D181="","",SUMIFS(Tasks!$G$5:$G$48,Tasks!$B$5:$B$48,D181))</f>
        <v/>
      </c>
      <c r="F181" s="32"/>
      <c r="G181" s="32"/>
      <c r="H181" s="32"/>
    </row>
    <row r="182" customFormat="false" ht="15" hidden="false" customHeight="false" outlineLevel="0" collapsed="false">
      <c r="A182" s="31"/>
      <c r="B182" s="32"/>
      <c r="C182" s="33"/>
      <c r="D182" s="34"/>
      <c r="E182" s="35" t="str">
        <f aca="false">IF(D182="","",SUMIFS(Tasks!$G$5:$G$48,Tasks!$B$5:$B$48,D182))</f>
        <v/>
      </c>
      <c r="F182" s="32"/>
      <c r="G182" s="32"/>
      <c r="H182" s="32"/>
    </row>
    <row r="183" customFormat="false" ht="15" hidden="false" customHeight="false" outlineLevel="0" collapsed="false">
      <c r="A183" s="31"/>
      <c r="B183" s="32"/>
      <c r="C183" s="33"/>
      <c r="D183" s="34"/>
      <c r="E183" s="35" t="str">
        <f aca="false">IF(D183="","",SUMIFS(Tasks!$G$5:$G$48,Tasks!$B$5:$B$48,D183))</f>
        <v/>
      </c>
      <c r="F183" s="32"/>
      <c r="G183" s="32"/>
      <c r="H183" s="32"/>
    </row>
    <row r="184" customFormat="false" ht="15" hidden="false" customHeight="false" outlineLevel="0" collapsed="false">
      <c r="A184" s="31"/>
      <c r="B184" s="32"/>
      <c r="C184" s="33"/>
      <c r="D184" s="34"/>
      <c r="E184" s="35" t="str">
        <f aca="false">IF(D184="","",SUMIFS(Tasks!$G$5:$G$48,Tasks!$B$5:$B$48,D184))</f>
        <v/>
      </c>
      <c r="F184" s="32"/>
      <c r="G184" s="32"/>
      <c r="H184" s="32"/>
    </row>
    <row r="185" customFormat="false" ht="15" hidden="false" customHeight="false" outlineLevel="0" collapsed="false">
      <c r="A185" s="31"/>
      <c r="B185" s="32"/>
      <c r="C185" s="33"/>
      <c r="D185" s="34"/>
      <c r="E185" s="35" t="str">
        <f aca="false">IF(D185="","",SUMIFS(Tasks!$G$5:$G$48,Tasks!$B$5:$B$48,D185))</f>
        <v/>
      </c>
      <c r="F185" s="32"/>
      <c r="G185" s="32"/>
      <c r="H185" s="32"/>
    </row>
    <row r="186" customFormat="false" ht="15" hidden="false" customHeight="false" outlineLevel="0" collapsed="false">
      <c r="A186" s="31"/>
      <c r="B186" s="32"/>
      <c r="C186" s="33"/>
      <c r="D186" s="34"/>
      <c r="E186" s="35" t="str">
        <f aca="false">IF(D186="","",SUMIFS(Tasks!$G$5:$G$48,Tasks!$B$5:$B$48,D186))</f>
        <v/>
      </c>
      <c r="F186" s="32"/>
      <c r="G186" s="32"/>
      <c r="H186" s="32"/>
    </row>
    <row r="187" customFormat="false" ht="15" hidden="false" customHeight="false" outlineLevel="0" collapsed="false">
      <c r="A187" s="31"/>
      <c r="B187" s="32"/>
      <c r="C187" s="33"/>
      <c r="D187" s="34"/>
      <c r="E187" s="35" t="str">
        <f aca="false">IF(D187="","",SUMIFS(Tasks!$G$5:$G$48,Tasks!$B$5:$B$48,D187))</f>
        <v/>
      </c>
      <c r="F187" s="32"/>
      <c r="G187" s="32"/>
      <c r="H187" s="32"/>
    </row>
    <row r="188" customFormat="false" ht="15" hidden="false" customHeight="false" outlineLevel="0" collapsed="false">
      <c r="A188" s="31"/>
      <c r="B188" s="32"/>
      <c r="C188" s="33"/>
      <c r="D188" s="34"/>
      <c r="E188" s="35" t="str">
        <f aca="false">IF(D188="","",SUMIFS(Tasks!$G$5:$G$48,Tasks!$B$5:$B$48,D188))</f>
        <v/>
      </c>
      <c r="F188" s="32"/>
      <c r="G188" s="32"/>
      <c r="H188" s="32"/>
    </row>
    <row r="189" customFormat="false" ht="15" hidden="false" customHeight="false" outlineLevel="0" collapsed="false">
      <c r="A189" s="31"/>
      <c r="B189" s="32"/>
      <c r="C189" s="33"/>
      <c r="D189" s="34"/>
      <c r="E189" s="35" t="str">
        <f aca="false">IF(D189="","",SUMIFS(Tasks!$G$5:$G$48,Tasks!$B$5:$B$48,D189))</f>
        <v/>
      </c>
      <c r="F189" s="32"/>
      <c r="G189" s="32"/>
      <c r="H189" s="32"/>
    </row>
    <row r="190" customFormat="false" ht="15" hidden="false" customHeight="false" outlineLevel="0" collapsed="false">
      <c r="A190" s="31"/>
      <c r="B190" s="32"/>
      <c r="C190" s="33"/>
      <c r="D190" s="34"/>
      <c r="E190" s="35" t="str">
        <f aca="false">IF(D190="","",SUMIFS(Tasks!$G$5:$G$48,Tasks!$B$5:$B$48,D190))</f>
        <v/>
      </c>
      <c r="F190" s="32"/>
      <c r="G190" s="32"/>
      <c r="H190" s="32"/>
    </row>
    <row r="191" customFormat="false" ht="15" hidden="false" customHeight="false" outlineLevel="0" collapsed="false">
      <c r="A191" s="31"/>
      <c r="B191" s="32"/>
      <c r="C191" s="33"/>
      <c r="D191" s="34"/>
      <c r="E191" s="35" t="str">
        <f aca="false">IF(D191="","",SUMIFS(Tasks!$G$5:$G$48,Tasks!$B$5:$B$48,D191))</f>
        <v/>
      </c>
      <c r="F191" s="32"/>
      <c r="G191" s="32"/>
      <c r="H191" s="32"/>
    </row>
    <row r="192" customFormat="false" ht="15" hidden="false" customHeight="false" outlineLevel="0" collapsed="false">
      <c r="A192" s="31"/>
      <c r="B192" s="32"/>
      <c r="C192" s="33"/>
      <c r="D192" s="34"/>
      <c r="E192" s="35" t="str">
        <f aca="false">IF(D192="","",SUMIFS(Tasks!$G$5:$G$48,Tasks!$B$5:$B$48,D192))</f>
        <v/>
      </c>
      <c r="F192" s="32"/>
      <c r="G192" s="32"/>
      <c r="H192" s="32"/>
    </row>
    <row r="193" customFormat="false" ht="15" hidden="false" customHeight="false" outlineLevel="0" collapsed="false">
      <c r="A193" s="31"/>
      <c r="B193" s="32"/>
      <c r="C193" s="33"/>
      <c r="D193" s="34"/>
      <c r="E193" s="35" t="str">
        <f aca="false">IF(D193="","",SUMIFS(Tasks!$G$5:$G$48,Tasks!$B$5:$B$48,D193))</f>
        <v/>
      </c>
      <c r="F193" s="32"/>
      <c r="G193" s="32"/>
      <c r="H193" s="32"/>
    </row>
    <row r="194" customFormat="false" ht="15" hidden="false" customHeight="false" outlineLevel="0" collapsed="false">
      <c r="A194" s="31"/>
      <c r="B194" s="32"/>
      <c r="C194" s="33"/>
      <c r="D194" s="34"/>
      <c r="E194" s="35" t="str">
        <f aca="false">IF(D194="","",SUMIFS(Tasks!$G$5:$G$48,Tasks!$B$5:$B$48,D194))</f>
        <v/>
      </c>
      <c r="F194" s="32"/>
      <c r="G194" s="32"/>
      <c r="H194" s="32"/>
    </row>
    <row r="195" customFormat="false" ht="15" hidden="false" customHeight="false" outlineLevel="0" collapsed="false">
      <c r="A195" s="31"/>
      <c r="B195" s="32"/>
      <c r="C195" s="33"/>
      <c r="D195" s="34"/>
      <c r="E195" s="35" t="str">
        <f aca="false">IF(D195="","",SUMIFS(Tasks!$G$5:$G$48,Tasks!$B$5:$B$48,D195))</f>
        <v/>
      </c>
      <c r="F195" s="32"/>
      <c r="G195" s="32"/>
      <c r="H195" s="32"/>
    </row>
    <row r="196" customFormat="false" ht="15" hidden="false" customHeight="false" outlineLevel="0" collapsed="false">
      <c r="A196" s="31"/>
      <c r="B196" s="32"/>
      <c r="C196" s="33"/>
      <c r="D196" s="34"/>
      <c r="E196" s="35" t="str">
        <f aca="false">IF(D196="","",SUMIFS(Tasks!$G$5:$G$48,Tasks!$B$5:$B$48,D196))</f>
        <v/>
      </c>
      <c r="F196" s="32"/>
      <c r="G196" s="32"/>
      <c r="H196" s="32"/>
    </row>
    <row r="197" customFormat="false" ht="15" hidden="false" customHeight="false" outlineLevel="0" collapsed="false">
      <c r="A197" s="31"/>
      <c r="B197" s="32"/>
      <c r="C197" s="33"/>
      <c r="D197" s="34"/>
      <c r="E197" s="35" t="str">
        <f aca="false">IF(D197="","",SUMIFS(Tasks!$G$5:$G$48,Tasks!$B$5:$B$48,D197))</f>
        <v/>
      </c>
      <c r="F197" s="32"/>
      <c r="G197" s="32"/>
      <c r="H197" s="32"/>
    </row>
    <row r="198" customFormat="false" ht="15" hidden="false" customHeight="false" outlineLevel="0" collapsed="false">
      <c r="A198" s="31"/>
      <c r="B198" s="32"/>
      <c r="C198" s="33"/>
      <c r="D198" s="34"/>
      <c r="E198" s="35" t="str">
        <f aca="false">IF(D198="","",SUMIFS(Tasks!$G$5:$G$48,Tasks!$B$5:$B$48,D198))</f>
        <v/>
      </c>
      <c r="F198" s="32"/>
      <c r="G198" s="32"/>
      <c r="H198" s="32"/>
    </row>
    <row r="199" customFormat="false" ht="15" hidden="false" customHeight="false" outlineLevel="0" collapsed="false">
      <c r="A199" s="31"/>
      <c r="B199" s="32"/>
      <c r="C199" s="33"/>
      <c r="D199" s="34"/>
      <c r="E199" s="35" t="str">
        <f aca="false">IF(D199="","",SUMIFS(Tasks!$G$5:$G$48,Tasks!$B$5:$B$48,D199))</f>
        <v/>
      </c>
      <c r="F199" s="32"/>
      <c r="G199" s="32"/>
      <c r="H199" s="32"/>
    </row>
    <row r="200" customFormat="false" ht="15" hidden="false" customHeight="false" outlineLevel="0" collapsed="false">
      <c r="A200" s="31"/>
      <c r="B200" s="32"/>
      <c r="C200" s="33"/>
      <c r="D200" s="34"/>
      <c r="E200" s="35" t="str">
        <f aca="false">IF(D200="","",SUMIFS(Tasks!$G$5:$G$48,Tasks!$B$5:$B$48,D200))</f>
        <v/>
      </c>
      <c r="F200" s="32"/>
      <c r="G200" s="32"/>
      <c r="H200" s="32"/>
    </row>
    <row r="201" customFormat="false" ht="15" hidden="false" customHeight="false" outlineLevel="0" collapsed="false">
      <c r="A201" s="31"/>
      <c r="B201" s="32"/>
      <c r="C201" s="33"/>
      <c r="D201" s="34"/>
      <c r="E201" s="35" t="str">
        <f aca="false">IF(D201="","",SUMIFS(Tasks!$G$5:$G$48,Tasks!$B$5:$B$48,D201))</f>
        <v/>
      </c>
      <c r="F201" s="32"/>
      <c r="G201" s="32"/>
      <c r="H201" s="32"/>
    </row>
    <row r="202" customFormat="false" ht="15" hidden="false" customHeight="false" outlineLevel="0" collapsed="false">
      <c r="A202" s="31"/>
      <c r="B202" s="32"/>
      <c r="C202" s="33"/>
      <c r="D202" s="34"/>
      <c r="E202" s="35" t="str">
        <f aca="false">IF(D202="","",SUMIFS(Tasks!$G$5:$G$48,Tasks!$B$5:$B$48,D202))</f>
        <v/>
      </c>
      <c r="F202" s="32"/>
      <c r="G202" s="32"/>
      <c r="H202" s="32"/>
    </row>
    <row r="203" customFormat="false" ht="15" hidden="false" customHeight="false" outlineLevel="0" collapsed="false">
      <c r="A203" s="31"/>
      <c r="B203" s="32"/>
      <c r="C203" s="33"/>
      <c r="D203" s="34"/>
      <c r="E203" s="35" t="str">
        <f aca="false">IF(D203="","",SUMIFS(Tasks!$G$5:$G$48,Tasks!$B$5:$B$48,D203))</f>
        <v/>
      </c>
      <c r="F203" s="32"/>
      <c r="G203" s="32"/>
      <c r="H203" s="32"/>
    </row>
    <row r="204" customFormat="false" ht="15" hidden="false" customHeight="false" outlineLevel="0" collapsed="false">
      <c r="A204" s="31"/>
      <c r="B204" s="32"/>
      <c r="C204" s="33"/>
      <c r="D204" s="34"/>
      <c r="E204" s="35" t="str">
        <f aca="false">IF(D204="","",SUMIFS(Tasks!$G$5:$G$48,Tasks!$B$5:$B$48,D204))</f>
        <v/>
      </c>
      <c r="F204" s="32"/>
      <c r="G204" s="32"/>
      <c r="H204" s="32"/>
    </row>
    <row r="205" customFormat="false" ht="15" hidden="false" customHeight="false" outlineLevel="0" collapsed="false">
      <c r="A205" s="31"/>
      <c r="B205" s="32"/>
      <c r="C205" s="33"/>
      <c r="D205" s="34"/>
      <c r="E205" s="35" t="str">
        <f aca="false">IF(D205="","",SUMIFS(Tasks!$G$5:$G$48,Tasks!$B$5:$B$48,D205))</f>
        <v/>
      </c>
      <c r="F205" s="32"/>
      <c r="G205" s="32"/>
      <c r="H205" s="32"/>
    </row>
  </sheetData>
  <autoFilter ref="A4:H205"/>
  <mergeCells count="2">
    <mergeCell ref="A1:H1"/>
    <mergeCell ref="A2:H2"/>
  </mergeCells>
  <dataValidations count="4">
    <dataValidation allowBlank="true" error="Type a date such as 21-Oct-2026." errorStyle="stop" errorTitle="Not a date" operator="greaterThan" prompt="Type like 21-Oct-2026 or press Ctrl + ; for today." promptTitle="Date" showDropDown="false" showErrorMessage="true" showInputMessage="true" sqref="A6:A205" type="date">
      <formula1>43831</formula1>
      <formula2>0</formula2>
    </dataValidation>
    <dataValidation allowBlank="true" error="Please choose one of the options in the dropdown." errorStyle="stop" errorTitle="Pick from the list" operator="between" prompt="Pick your name. Not there? Ask your lead to add it in READ ME &gt; Team." promptTitle="Tester" showDropDown="false" showErrorMessage="false" showInputMessage="true" sqref="B6:B205" type="list">
      <formula1>'READ ME'!$C$51:$C$58</formula1>
      <formula2>0</formula2>
    </dataValidation>
    <dataValidation allowBlank="true" error="Type a time such as 10:00 or 4:30 PM." errorStyle="stop" errorTitle="Not a time" operator="between" prompt="When you started, for example 10:00 AM." promptTitle="Time" showDropDown="false" showErrorMessage="true" showInputMessage="true" sqref="C6:C205" type="time">
      <formula1>0</formula1>
      <formula2>0.999988</formula2>
    </dataValidation>
    <dataValidation allowBlank="true" error="Please choose one of the options in the dropdown." errorStyle="stop" errorTitle="Pick from the list" operator="between" prompt="1 to 5. Planned minutes fill in by themselves." promptTitle="Day of plan" showDropDown="false" showErrorMessage="true" showInputMessage="true" sqref="D6:D205" type="list">
      <formula1>Lists!$E$2:$E$6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A1E18"/>
    <pageSetUpPr fitToPage="true"/>
  </sheetPr>
  <dimension ref="A1:J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7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28"/>
  </cols>
  <sheetData>
    <row r="1" customFormat="false" ht="30" hidden="false" customHeight="true" outlineLevel="0" collapsed="false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121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28" t="s">
        <v>122</v>
      </c>
      <c r="B4" s="28" t="s">
        <v>123</v>
      </c>
      <c r="C4" s="28" t="s">
        <v>124</v>
      </c>
      <c r="D4" s="28" t="s">
        <v>125</v>
      </c>
      <c r="E4" s="28" t="s">
        <v>126</v>
      </c>
      <c r="F4" s="28" t="s">
        <v>127</v>
      </c>
      <c r="G4" s="28" t="s">
        <v>128</v>
      </c>
      <c r="H4" s="28" t="s">
        <v>129</v>
      </c>
      <c r="I4" s="28" t="s">
        <v>130</v>
      </c>
      <c r="J4" s="28" t="s">
        <v>131</v>
      </c>
    </row>
    <row r="5" customFormat="false" ht="63.75" hidden="false" customHeight="true" outlineLevel="0" collapsed="false">
      <c r="A5" s="36" t="s">
        <v>132</v>
      </c>
      <c r="B5" s="37" t="n">
        <v>1</v>
      </c>
      <c r="C5" s="38" t="s">
        <v>133</v>
      </c>
      <c r="D5" s="39" t="s">
        <v>134</v>
      </c>
      <c r="E5" s="39" t="s">
        <v>135</v>
      </c>
      <c r="F5" s="39" t="s">
        <v>136</v>
      </c>
      <c r="G5" s="37" t="n">
        <v>15</v>
      </c>
      <c r="H5" s="40" t="s">
        <v>137</v>
      </c>
      <c r="I5" s="41"/>
      <c r="J5" s="40"/>
    </row>
    <row r="6" customFormat="false" ht="33.75" hidden="false" customHeight="true" outlineLevel="0" collapsed="false">
      <c r="A6" s="42" t="s">
        <v>138</v>
      </c>
      <c r="B6" s="43" t="n">
        <v>1</v>
      </c>
      <c r="C6" s="44" t="s">
        <v>139</v>
      </c>
      <c r="D6" s="45" t="s">
        <v>140</v>
      </c>
      <c r="E6" s="45" t="s">
        <v>141</v>
      </c>
      <c r="F6" s="45" t="s">
        <v>142</v>
      </c>
      <c r="G6" s="43" t="n">
        <v>25</v>
      </c>
      <c r="H6" s="32" t="s">
        <v>137</v>
      </c>
      <c r="I6" s="46"/>
      <c r="J6" s="32"/>
    </row>
    <row r="7" customFormat="false" ht="33.75" hidden="false" customHeight="true" outlineLevel="0" collapsed="false">
      <c r="A7" s="42" t="s">
        <v>143</v>
      </c>
      <c r="B7" s="43" t="n">
        <v>1</v>
      </c>
      <c r="C7" s="44" t="s">
        <v>144</v>
      </c>
      <c r="D7" s="45" t="s">
        <v>145</v>
      </c>
      <c r="E7" s="45" t="s">
        <v>146</v>
      </c>
      <c r="F7" s="45" t="s">
        <v>147</v>
      </c>
      <c r="G7" s="43" t="n">
        <v>25</v>
      </c>
      <c r="H7" s="32" t="s">
        <v>137</v>
      </c>
      <c r="I7" s="46"/>
      <c r="J7" s="32"/>
    </row>
    <row r="8" customFormat="false" ht="33.75" hidden="false" customHeight="true" outlineLevel="0" collapsed="false">
      <c r="A8" s="42" t="s">
        <v>148</v>
      </c>
      <c r="B8" s="43" t="n">
        <v>1</v>
      </c>
      <c r="C8" s="44" t="s">
        <v>149</v>
      </c>
      <c r="D8" s="45" t="s">
        <v>150</v>
      </c>
      <c r="E8" s="45" t="s">
        <v>151</v>
      </c>
      <c r="F8" s="45" t="s">
        <v>152</v>
      </c>
      <c r="G8" s="43" t="n">
        <v>20</v>
      </c>
      <c r="H8" s="32" t="s">
        <v>137</v>
      </c>
      <c r="I8" s="46"/>
      <c r="J8" s="32"/>
    </row>
    <row r="9" customFormat="false" ht="63.75" hidden="false" customHeight="true" outlineLevel="0" collapsed="false">
      <c r="A9" s="42" t="s">
        <v>153</v>
      </c>
      <c r="B9" s="43" t="n">
        <v>1</v>
      </c>
      <c r="C9" s="44" t="s">
        <v>154</v>
      </c>
      <c r="D9" s="45" t="s">
        <v>155</v>
      </c>
      <c r="E9" s="45" t="s">
        <v>156</v>
      </c>
      <c r="F9" s="45" t="s">
        <v>157</v>
      </c>
      <c r="G9" s="43" t="n">
        <v>30</v>
      </c>
      <c r="H9" s="32" t="s">
        <v>137</v>
      </c>
      <c r="I9" s="46"/>
      <c r="J9" s="32"/>
    </row>
    <row r="10" customFormat="false" ht="33.75" hidden="false" customHeight="true" outlineLevel="0" collapsed="false">
      <c r="A10" s="42" t="s">
        <v>158</v>
      </c>
      <c r="B10" s="43" t="n">
        <v>1</v>
      </c>
      <c r="C10" s="44" t="s">
        <v>159</v>
      </c>
      <c r="D10" s="45" t="s">
        <v>160</v>
      </c>
      <c r="E10" s="45" t="s">
        <v>161</v>
      </c>
      <c r="F10" s="45" t="s">
        <v>162</v>
      </c>
      <c r="G10" s="43" t="n">
        <v>25</v>
      </c>
      <c r="H10" s="32" t="s">
        <v>137</v>
      </c>
      <c r="I10" s="46"/>
      <c r="J10" s="32"/>
    </row>
    <row r="11" customFormat="false" ht="33.75" hidden="false" customHeight="true" outlineLevel="0" collapsed="false">
      <c r="A11" s="42" t="s">
        <v>163</v>
      </c>
      <c r="B11" s="43" t="n">
        <v>1</v>
      </c>
      <c r="C11" s="44" t="s">
        <v>164</v>
      </c>
      <c r="D11" s="45" t="s">
        <v>165</v>
      </c>
      <c r="E11" s="45" t="s">
        <v>166</v>
      </c>
      <c r="F11" s="45" t="s">
        <v>167</v>
      </c>
      <c r="G11" s="43" t="n">
        <v>10</v>
      </c>
      <c r="H11" s="32" t="s">
        <v>137</v>
      </c>
      <c r="I11" s="46"/>
      <c r="J11" s="32"/>
    </row>
    <row r="12" customFormat="false" ht="48.75" hidden="false" customHeight="true" outlineLevel="0" collapsed="false">
      <c r="A12" s="36" t="s">
        <v>168</v>
      </c>
      <c r="B12" s="37" t="n">
        <v>2</v>
      </c>
      <c r="C12" s="38" t="s">
        <v>169</v>
      </c>
      <c r="D12" s="39" t="s">
        <v>170</v>
      </c>
      <c r="E12" s="39" t="s">
        <v>171</v>
      </c>
      <c r="F12" s="39" t="s">
        <v>172</v>
      </c>
      <c r="G12" s="37" t="n">
        <v>10</v>
      </c>
      <c r="H12" s="40" t="s">
        <v>137</v>
      </c>
      <c r="I12" s="41"/>
      <c r="J12" s="40"/>
    </row>
    <row r="13" customFormat="false" ht="33.75" hidden="false" customHeight="true" outlineLevel="0" collapsed="false">
      <c r="A13" s="42" t="s">
        <v>173</v>
      </c>
      <c r="B13" s="43" t="n">
        <v>2</v>
      </c>
      <c r="C13" s="44" t="s">
        <v>174</v>
      </c>
      <c r="D13" s="45" t="s">
        <v>175</v>
      </c>
      <c r="E13" s="45" t="s">
        <v>176</v>
      </c>
      <c r="F13" s="45" t="s">
        <v>177</v>
      </c>
      <c r="G13" s="43" t="n">
        <v>20</v>
      </c>
      <c r="H13" s="32" t="s">
        <v>137</v>
      </c>
      <c r="I13" s="46"/>
      <c r="J13" s="32"/>
    </row>
    <row r="14" customFormat="false" ht="33.75" hidden="false" customHeight="true" outlineLevel="0" collapsed="false">
      <c r="A14" s="42" t="s">
        <v>178</v>
      </c>
      <c r="B14" s="43" t="n">
        <v>2</v>
      </c>
      <c r="C14" s="44" t="s">
        <v>179</v>
      </c>
      <c r="D14" s="45" t="s">
        <v>180</v>
      </c>
      <c r="E14" s="45" t="s">
        <v>181</v>
      </c>
      <c r="F14" s="45" t="s">
        <v>182</v>
      </c>
      <c r="G14" s="43" t="n">
        <v>15</v>
      </c>
      <c r="H14" s="32" t="s">
        <v>137</v>
      </c>
      <c r="I14" s="46"/>
      <c r="J14" s="32"/>
    </row>
    <row r="15" customFormat="false" ht="48.75" hidden="false" customHeight="true" outlineLevel="0" collapsed="false">
      <c r="A15" s="42" t="s">
        <v>183</v>
      </c>
      <c r="B15" s="43" t="n">
        <v>2</v>
      </c>
      <c r="C15" s="44" t="s">
        <v>184</v>
      </c>
      <c r="D15" s="45" t="s">
        <v>185</v>
      </c>
      <c r="E15" s="45" t="s">
        <v>186</v>
      </c>
      <c r="F15" s="45" t="s">
        <v>187</v>
      </c>
      <c r="G15" s="43" t="n">
        <v>25</v>
      </c>
      <c r="H15" s="32" t="s">
        <v>137</v>
      </c>
      <c r="I15" s="46"/>
      <c r="J15" s="32"/>
    </row>
    <row r="16" customFormat="false" ht="63.75" hidden="false" customHeight="true" outlineLevel="0" collapsed="false">
      <c r="A16" s="42" t="s">
        <v>188</v>
      </c>
      <c r="B16" s="43" t="n">
        <v>2</v>
      </c>
      <c r="C16" s="44" t="s">
        <v>189</v>
      </c>
      <c r="D16" s="45" t="s">
        <v>175</v>
      </c>
      <c r="E16" s="45" t="s">
        <v>190</v>
      </c>
      <c r="F16" s="45" t="s">
        <v>191</v>
      </c>
      <c r="G16" s="43" t="n">
        <v>30</v>
      </c>
      <c r="H16" s="32" t="s">
        <v>137</v>
      </c>
      <c r="I16" s="46"/>
      <c r="J16" s="32"/>
    </row>
    <row r="17" customFormat="false" ht="33.75" hidden="false" customHeight="true" outlineLevel="0" collapsed="false">
      <c r="A17" s="42" t="s">
        <v>192</v>
      </c>
      <c r="B17" s="43" t="n">
        <v>2</v>
      </c>
      <c r="C17" s="44" t="s">
        <v>193</v>
      </c>
      <c r="D17" s="45" t="s">
        <v>194</v>
      </c>
      <c r="E17" s="45" t="s">
        <v>195</v>
      </c>
      <c r="F17" s="45" t="s">
        <v>196</v>
      </c>
      <c r="G17" s="43" t="n">
        <v>20</v>
      </c>
      <c r="H17" s="32" t="s">
        <v>137</v>
      </c>
      <c r="I17" s="46"/>
      <c r="J17" s="32"/>
    </row>
    <row r="18" customFormat="false" ht="33.75" hidden="false" customHeight="true" outlineLevel="0" collapsed="false">
      <c r="A18" s="42" t="s">
        <v>197</v>
      </c>
      <c r="B18" s="43" t="n">
        <v>2</v>
      </c>
      <c r="C18" s="44" t="s">
        <v>198</v>
      </c>
      <c r="D18" s="45" t="s">
        <v>180</v>
      </c>
      <c r="E18" s="45" t="s">
        <v>199</v>
      </c>
      <c r="F18" s="45" t="s">
        <v>200</v>
      </c>
      <c r="G18" s="43" t="n">
        <v>15</v>
      </c>
      <c r="H18" s="32" t="s">
        <v>137</v>
      </c>
      <c r="I18" s="46"/>
      <c r="J18" s="32"/>
    </row>
    <row r="19" customFormat="false" ht="33.75" hidden="false" customHeight="true" outlineLevel="0" collapsed="false">
      <c r="A19" s="42" t="s">
        <v>201</v>
      </c>
      <c r="B19" s="43" t="n">
        <v>2</v>
      </c>
      <c r="C19" s="44" t="s">
        <v>202</v>
      </c>
      <c r="D19" s="45" t="s">
        <v>203</v>
      </c>
      <c r="E19" s="45" t="s">
        <v>204</v>
      </c>
      <c r="F19" s="45" t="s">
        <v>205</v>
      </c>
      <c r="G19" s="43" t="n">
        <v>15</v>
      </c>
      <c r="H19" s="32" t="s">
        <v>137</v>
      </c>
      <c r="I19" s="46"/>
      <c r="J19" s="32"/>
    </row>
    <row r="20" customFormat="false" ht="33.75" hidden="false" customHeight="true" outlineLevel="0" collapsed="false">
      <c r="A20" s="36" t="s">
        <v>206</v>
      </c>
      <c r="B20" s="37" t="n">
        <v>3</v>
      </c>
      <c r="C20" s="38" t="s">
        <v>207</v>
      </c>
      <c r="D20" s="39" t="s">
        <v>208</v>
      </c>
      <c r="E20" s="39" t="s">
        <v>209</v>
      </c>
      <c r="F20" s="39" t="s">
        <v>210</v>
      </c>
      <c r="G20" s="37" t="n">
        <v>15</v>
      </c>
      <c r="H20" s="40" t="s">
        <v>137</v>
      </c>
      <c r="I20" s="41"/>
      <c r="J20" s="40"/>
    </row>
    <row r="21" customFormat="false" ht="33.75" hidden="false" customHeight="true" outlineLevel="0" collapsed="false">
      <c r="A21" s="42" t="s">
        <v>211</v>
      </c>
      <c r="B21" s="43" t="n">
        <v>3</v>
      </c>
      <c r="C21" s="44" t="s">
        <v>212</v>
      </c>
      <c r="D21" s="45" t="s">
        <v>213</v>
      </c>
      <c r="E21" s="45" t="s">
        <v>214</v>
      </c>
      <c r="F21" s="45" t="s">
        <v>215</v>
      </c>
      <c r="G21" s="43" t="n">
        <v>20</v>
      </c>
      <c r="H21" s="32" t="s">
        <v>137</v>
      </c>
      <c r="I21" s="46"/>
      <c r="J21" s="32"/>
    </row>
    <row r="22" customFormat="false" ht="33.75" hidden="false" customHeight="true" outlineLevel="0" collapsed="false">
      <c r="A22" s="42" t="s">
        <v>216</v>
      </c>
      <c r="B22" s="43" t="n">
        <v>3</v>
      </c>
      <c r="C22" s="44" t="s">
        <v>217</v>
      </c>
      <c r="D22" s="45" t="s">
        <v>213</v>
      </c>
      <c r="E22" s="45" t="s">
        <v>218</v>
      </c>
      <c r="F22" s="45" t="s">
        <v>219</v>
      </c>
      <c r="G22" s="43" t="n">
        <v>15</v>
      </c>
      <c r="H22" s="32" t="s">
        <v>137</v>
      </c>
      <c r="I22" s="46"/>
      <c r="J22" s="32"/>
    </row>
    <row r="23" customFormat="false" ht="33.75" hidden="false" customHeight="true" outlineLevel="0" collapsed="false">
      <c r="A23" s="42" t="s">
        <v>220</v>
      </c>
      <c r="B23" s="43" t="n">
        <v>3</v>
      </c>
      <c r="C23" s="44" t="s">
        <v>221</v>
      </c>
      <c r="D23" s="45" t="s">
        <v>222</v>
      </c>
      <c r="E23" s="45" t="s">
        <v>223</v>
      </c>
      <c r="F23" s="45" t="s">
        <v>224</v>
      </c>
      <c r="G23" s="43" t="n">
        <v>30</v>
      </c>
      <c r="H23" s="32" t="s">
        <v>137</v>
      </c>
      <c r="I23" s="46"/>
      <c r="J23" s="32"/>
    </row>
    <row r="24" customFormat="false" ht="63.75" hidden="false" customHeight="true" outlineLevel="0" collapsed="false">
      <c r="A24" s="42" t="s">
        <v>225</v>
      </c>
      <c r="B24" s="43" t="n">
        <v>3</v>
      </c>
      <c r="C24" s="44" t="s">
        <v>226</v>
      </c>
      <c r="D24" s="45" t="s">
        <v>227</v>
      </c>
      <c r="E24" s="45" t="s">
        <v>228</v>
      </c>
      <c r="F24" s="45" t="s">
        <v>229</v>
      </c>
      <c r="G24" s="43" t="n">
        <v>25</v>
      </c>
      <c r="H24" s="32" t="s">
        <v>137</v>
      </c>
      <c r="I24" s="46"/>
      <c r="J24" s="32"/>
    </row>
    <row r="25" customFormat="false" ht="18.75" hidden="false" customHeight="true" outlineLevel="0" collapsed="false">
      <c r="A25" s="42" t="s">
        <v>230</v>
      </c>
      <c r="B25" s="43" t="n">
        <v>3</v>
      </c>
      <c r="C25" s="44" t="s">
        <v>231</v>
      </c>
      <c r="D25" s="45" t="s">
        <v>232</v>
      </c>
      <c r="E25" s="45" t="s">
        <v>233</v>
      </c>
      <c r="F25" s="45" t="s">
        <v>234</v>
      </c>
      <c r="G25" s="43" t="n">
        <v>25</v>
      </c>
      <c r="H25" s="32" t="s">
        <v>137</v>
      </c>
      <c r="I25" s="46"/>
      <c r="J25" s="32"/>
    </row>
    <row r="26" customFormat="false" ht="33.75" hidden="false" customHeight="true" outlineLevel="0" collapsed="false">
      <c r="A26" s="42" t="s">
        <v>235</v>
      </c>
      <c r="B26" s="43" t="n">
        <v>3</v>
      </c>
      <c r="C26" s="44" t="s">
        <v>236</v>
      </c>
      <c r="D26" s="45" t="s">
        <v>237</v>
      </c>
      <c r="E26" s="45" t="s">
        <v>238</v>
      </c>
      <c r="F26" s="45" t="s">
        <v>239</v>
      </c>
      <c r="G26" s="43" t="n">
        <v>25</v>
      </c>
      <c r="H26" s="32" t="s">
        <v>137</v>
      </c>
      <c r="I26" s="46"/>
      <c r="J26" s="32"/>
    </row>
    <row r="27" customFormat="false" ht="33.75" hidden="false" customHeight="true" outlineLevel="0" collapsed="false">
      <c r="A27" s="42" t="s">
        <v>240</v>
      </c>
      <c r="B27" s="43" t="n">
        <v>3</v>
      </c>
      <c r="C27" s="44" t="s">
        <v>241</v>
      </c>
      <c r="D27" s="45" t="s">
        <v>242</v>
      </c>
      <c r="E27" s="45" t="s">
        <v>243</v>
      </c>
      <c r="F27" s="45" t="s">
        <v>244</v>
      </c>
      <c r="G27" s="43" t="n">
        <v>10</v>
      </c>
      <c r="H27" s="32" t="s">
        <v>137</v>
      </c>
      <c r="I27" s="46"/>
      <c r="J27" s="32"/>
    </row>
    <row r="28" customFormat="false" ht="33.75" hidden="false" customHeight="true" outlineLevel="0" collapsed="false">
      <c r="A28" s="36" t="s">
        <v>245</v>
      </c>
      <c r="B28" s="37" t="n">
        <v>4</v>
      </c>
      <c r="C28" s="38" t="s">
        <v>246</v>
      </c>
      <c r="D28" s="39" t="s">
        <v>247</v>
      </c>
      <c r="E28" s="39" t="s">
        <v>248</v>
      </c>
      <c r="F28" s="39" t="s">
        <v>249</v>
      </c>
      <c r="G28" s="37" t="n">
        <v>15</v>
      </c>
      <c r="H28" s="40" t="s">
        <v>137</v>
      </c>
      <c r="I28" s="41"/>
      <c r="J28" s="40"/>
    </row>
    <row r="29" customFormat="false" ht="48.75" hidden="false" customHeight="true" outlineLevel="0" collapsed="false">
      <c r="A29" s="42" t="s">
        <v>250</v>
      </c>
      <c r="B29" s="43" t="n">
        <v>4</v>
      </c>
      <c r="C29" s="44" t="s">
        <v>251</v>
      </c>
      <c r="D29" s="45" t="s">
        <v>252</v>
      </c>
      <c r="E29" s="45" t="s">
        <v>253</v>
      </c>
      <c r="F29" s="45" t="s">
        <v>254</v>
      </c>
      <c r="G29" s="43" t="n">
        <v>15</v>
      </c>
      <c r="H29" s="32" t="s">
        <v>137</v>
      </c>
      <c r="I29" s="46"/>
      <c r="J29" s="32"/>
    </row>
    <row r="30" customFormat="false" ht="33.75" hidden="false" customHeight="true" outlineLevel="0" collapsed="false">
      <c r="A30" s="42" t="s">
        <v>255</v>
      </c>
      <c r="B30" s="43" t="n">
        <v>4</v>
      </c>
      <c r="C30" s="44" t="s">
        <v>256</v>
      </c>
      <c r="D30" s="45" t="s">
        <v>257</v>
      </c>
      <c r="E30" s="45" t="s">
        <v>258</v>
      </c>
      <c r="F30" s="45" t="s">
        <v>259</v>
      </c>
      <c r="G30" s="43" t="n">
        <v>15</v>
      </c>
      <c r="H30" s="32" t="s">
        <v>137</v>
      </c>
      <c r="I30" s="46"/>
      <c r="J30" s="32"/>
    </row>
    <row r="31" customFormat="false" ht="33.75" hidden="false" customHeight="true" outlineLevel="0" collapsed="false">
      <c r="A31" s="42" t="s">
        <v>260</v>
      </c>
      <c r="B31" s="43" t="n">
        <v>4</v>
      </c>
      <c r="C31" s="44" t="s">
        <v>261</v>
      </c>
      <c r="D31" s="45" t="s">
        <v>262</v>
      </c>
      <c r="E31" s="45" t="s">
        <v>263</v>
      </c>
      <c r="F31" s="45" t="s">
        <v>264</v>
      </c>
      <c r="G31" s="43" t="n">
        <v>20</v>
      </c>
      <c r="H31" s="32" t="s">
        <v>137</v>
      </c>
      <c r="I31" s="46"/>
      <c r="J31" s="32"/>
    </row>
    <row r="32" customFormat="false" ht="48.75" hidden="false" customHeight="true" outlineLevel="0" collapsed="false">
      <c r="A32" s="42" t="s">
        <v>265</v>
      </c>
      <c r="B32" s="43" t="n">
        <v>4</v>
      </c>
      <c r="C32" s="44" t="s">
        <v>266</v>
      </c>
      <c r="D32" s="45" t="s">
        <v>267</v>
      </c>
      <c r="E32" s="45" t="s">
        <v>268</v>
      </c>
      <c r="F32" s="45" t="s">
        <v>269</v>
      </c>
      <c r="G32" s="43" t="n">
        <v>25</v>
      </c>
      <c r="H32" s="32" t="s">
        <v>137</v>
      </c>
      <c r="I32" s="46"/>
      <c r="J32" s="32"/>
    </row>
    <row r="33" customFormat="false" ht="33.75" hidden="false" customHeight="true" outlineLevel="0" collapsed="false">
      <c r="A33" s="42" t="s">
        <v>270</v>
      </c>
      <c r="B33" s="43" t="n">
        <v>4</v>
      </c>
      <c r="C33" s="44" t="s">
        <v>271</v>
      </c>
      <c r="D33" s="45" t="s">
        <v>272</v>
      </c>
      <c r="E33" s="45" t="s">
        <v>273</v>
      </c>
      <c r="F33" s="45" t="s">
        <v>274</v>
      </c>
      <c r="G33" s="43" t="n">
        <v>20</v>
      </c>
      <c r="H33" s="32" t="s">
        <v>137</v>
      </c>
      <c r="I33" s="46"/>
      <c r="J33" s="32"/>
    </row>
    <row r="34" customFormat="false" ht="18.75" hidden="false" customHeight="true" outlineLevel="0" collapsed="false">
      <c r="A34" s="42" t="s">
        <v>275</v>
      </c>
      <c r="B34" s="43" t="n">
        <v>4</v>
      </c>
      <c r="C34" s="44" t="s">
        <v>276</v>
      </c>
      <c r="D34" s="45" t="s">
        <v>277</v>
      </c>
      <c r="E34" s="45" t="s">
        <v>278</v>
      </c>
      <c r="F34" s="45" t="s">
        <v>279</v>
      </c>
      <c r="G34" s="43" t="n">
        <v>10</v>
      </c>
      <c r="H34" s="32" t="s">
        <v>137</v>
      </c>
      <c r="I34" s="46"/>
      <c r="J34" s="32"/>
    </row>
    <row r="35" customFormat="false" ht="33.75" hidden="false" customHeight="true" outlineLevel="0" collapsed="false">
      <c r="A35" s="42" t="s">
        <v>280</v>
      </c>
      <c r="B35" s="43" t="n">
        <v>4</v>
      </c>
      <c r="C35" s="44" t="s">
        <v>281</v>
      </c>
      <c r="D35" s="45" t="s">
        <v>282</v>
      </c>
      <c r="E35" s="45" t="s">
        <v>283</v>
      </c>
      <c r="F35" s="45" t="s">
        <v>284</v>
      </c>
      <c r="G35" s="43" t="n">
        <v>20</v>
      </c>
      <c r="H35" s="32" t="s">
        <v>137</v>
      </c>
      <c r="I35" s="46"/>
      <c r="J35" s="32"/>
    </row>
    <row r="36" customFormat="false" ht="33.75" hidden="false" customHeight="true" outlineLevel="0" collapsed="false">
      <c r="A36" s="42" t="s">
        <v>285</v>
      </c>
      <c r="B36" s="43" t="n">
        <v>4</v>
      </c>
      <c r="C36" s="44" t="s">
        <v>286</v>
      </c>
      <c r="D36" s="45" t="s">
        <v>287</v>
      </c>
      <c r="E36" s="45" t="s">
        <v>288</v>
      </c>
      <c r="F36" s="45" t="s">
        <v>289</v>
      </c>
      <c r="G36" s="43" t="n">
        <v>10</v>
      </c>
      <c r="H36" s="32" t="s">
        <v>137</v>
      </c>
      <c r="I36" s="46"/>
      <c r="J36" s="32"/>
    </row>
    <row r="37" customFormat="false" ht="33.75" hidden="false" customHeight="true" outlineLevel="0" collapsed="false">
      <c r="A37" s="36" t="s">
        <v>290</v>
      </c>
      <c r="B37" s="37" t="n">
        <v>5</v>
      </c>
      <c r="C37" s="38" t="s">
        <v>291</v>
      </c>
      <c r="D37" s="39" t="s">
        <v>292</v>
      </c>
      <c r="E37" s="39" t="s">
        <v>293</v>
      </c>
      <c r="F37" s="39" t="s">
        <v>294</v>
      </c>
      <c r="G37" s="37" t="n">
        <v>40</v>
      </c>
      <c r="H37" s="40" t="s">
        <v>137</v>
      </c>
      <c r="I37" s="41"/>
      <c r="J37" s="40"/>
    </row>
    <row r="38" customFormat="false" ht="48.75" hidden="false" customHeight="true" outlineLevel="0" collapsed="false">
      <c r="A38" s="42" t="s">
        <v>295</v>
      </c>
      <c r="B38" s="43" t="n">
        <v>5</v>
      </c>
      <c r="C38" s="44" t="s">
        <v>296</v>
      </c>
      <c r="D38" s="45" t="s">
        <v>297</v>
      </c>
      <c r="E38" s="45" t="s">
        <v>298</v>
      </c>
      <c r="F38" s="45" t="s">
        <v>299</v>
      </c>
      <c r="G38" s="43" t="n">
        <v>20</v>
      </c>
      <c r="H38" s="32" t="s">
        <v>137</v>
      </c>
      <c r="I38" s="46"/>
      <c r="J38" s="32"/>
    </row>
    <row r="39" customFormat="false" ht="33.75" hidden="false" customHeight="true" outlineLevel="0" collapsed="false">
      <c r="A39" s="42" t="s">
        <v>300</v>
      </c>
      <c r="B39" s="43" t="n">
        <v>5</v>
      </c>
      <c r="C39" s="44" t="s">
        <v>301</v>
      </c>
      <c r="D39" s="45" t="s">
        <v>302</v>
      </c>
      <c r="E39" s="45" t="s">
        <v>303</v>
      </c>
      <c r="F39" s="45" t="s">
        <v>304</v>
      </c>
      <c r="G39" s="43" t="n">
        <v>20</v>
      </c>
      <c r="H39" s="32" t="s">
        <v>137</v>
      </c>
      <c r="I39" s="46"/>
      <c r="J39" s="32"/>
    </row>
    <row r="40" customFormat="false" ht="33.75" hidden="false" customHeight="true" outlineLevel="0" collapsed="false">
      <c r="A40" s="42" t="s">
        <v>305</v>
      </c>
      <c r="B40" s="43" t="n">
        <v>5</v>
      </c>
      <c r="C40" s="44" t="s">
        <v>306</v>
      </c>
      <c r="D40" s="45" t="s">
        <v>307</v>
      </c>
      <c r="E40" s="45" t="s">
        <v>308</v>
      </c>
      <c r="F40" s="45" t="s">
        <v>309</v>
      </c>
      <c r="G40" s="43" t="n">
        <v>15</v>
      </c>
      <c r="H40" s="32" t="s">
        <v>137</v>
      </c>
      <c r="I40" s="46"/>
      <c r="J40" s="32"/>
    </row>
    <row r="41" customFormat="false" ht="33.75" hidden="false" customHeight="true" outlineLevel="0" collapsed="false">
      <c r="A41" s="42" t="s">
        <v>310</v>
      </c>
      <c r="B41" s="43" t="n">
        <v>5</v>
      </c>
      <c r="C41" s="44" t="s">
        <v>311</v>
      </c>
      <c r="D41" s="45" t="s">
        <v>312</v>
      </c>
      <c r="E41" s="45" t="s">
        <v>313</v>
      </c>
      <c r="F41" s="45" t="s">
        <v>314</v>
      </c>
      <c r="G41" s="43" t="n">
        <v>15</v>
      </c>
      <c r="H41" s="32" t="s">
        <v>137</v>
      </c>
      <c r="I41" s="46"/>
      <c r="J41" s="32"/>
    </row>
    <row r="42" customFormat="false" ht="33.75" hidden="false" customHeight="true" outlineLevel="0" collapsed="false">
      <c r="A42" s="42" t="s">
        <v>315</v>
      </c>
      <c r="B42" s="43" t="n">
        <v>5</v>
      </c>
      <c r="C42" s="44" t="s">
        <v>316</v>
      </c>
      <c r="D42" s="45" t="s">
        <v>160</v>
      </c>
      <c r="E42" s="45" t="s">
        <v>317</v>
      </c>
      <c r="F42" s="45" t="s">
        <v>318</v>
      </c>
      <c r="G42" s="43" t="n">
        <v>20</v>
      </c>
      <c r="H42" s="32" t="s">
        <v>137</v>
      </c>
      <c r="I42" s="46"/>
      <c r="J42" s="32"/>
    </row>
    <row r="43" customFormat="false" ht="33.75" hidden="false" customHeight="true" outlineLevel="0" collapsed="false">
      <c r="A43" s="42" t="s">
        <v>319</v>
      </c>
      <c r="B43" s="43" t="n">
        <v>5</v>
      </c>
      <c r="C43" s="44" t="s">
        <v>320</v>
      </c>
      <c r="D43" s="45" t="s">
        <v>321</v>
      </c>
      <c r="E43" s="45" t="s">
        <v>322</v>
      </c>
      <c r="F43" s="45" t="s">
        <v>323</v>
      </c>
      <c r="G43" s="43" t="n">
        <v>20</v>
      </c>
      <c r="H43" s="32" t="s">
        <v>137</v>
      </c>
      <c r="I43" s="46"/>
      <c r="J43" s="32"/>
    </row>
    <row r="44" customFormat="false" ht="48.75" hidden="false" customHeight="true" outlineLevel="0" collapsed="false">
      <c r="A44" s="36" t="s">
        <v>324</v>
      </c>
      <c r="B44" s="37" t="s">
        <v>325</v>
      </c>
      <c r="C44" s="38" t="s">
        <v>326</v>
      </c>
      <c r="D44" s="39" t="s">
        <v>327</v>
      </c>
      <c r="E44" s="39" t="s">
        <v>328</v>
      </c>
      <c r="F44" s="39" t="s">
        <v>329</v>
      </c>
      <c r="G44" s="37" t="n">
        <v>20</v>
      </c>
      <c r="H44" s="40" t="s">
        <v>137</v>
      </c>
      <c r="I44" s="41"/>
      <c r="J44" s="40"/>
    </row>
    <row r="45" customFormat="false" ht="33.75" hidden="false" customHeight="true" outlineLevel="0" collapsed="false">
      <c r="A45" s="42" t="s">
        <v>330</v>
      </c>
      <c r="B45" s="43" t="s">
        <v>325</v>
      </c>
      <c r="C45" s="44" t="s">
        <v>331</v>
      </c>
      <c r="D45" s="45" t="s">
        <v>332</v>
      </c>
      <c r="E45" s="45" t="s">
        <v>333</v>
      </c>
      <c r="F45" s="45" t="s">
        <v>334</v>
      </c>
      <c r="G45" s="43" t="n">
        <v>15</v>
      </c>
      <c r="H45" s="32" t="s">
        <v>137</v>
      </c>
      <c r="I45" s="46"/>
      <c r="J45" s="32"/>
    </row>
    <row r="46" customFormat="false" ht="33.75" hidden="false" customHeight="true" outlineLevel="0" collapsed="false">
      <c r="A46" s="42" t="s">
        <v>335</v>
      </c>
      <c r="B46" s="43" t="s">
        <v>325</v>
      </c>
      <c r="C46" s="44" t="s">
        <v>336</v>
      </c>
      <c r="D46" s="45" t="s">
        <v>337</v>
      </c>
      <c r="E46" s="45" t="s">
        <v>338</v>
      </c>
      <c r="F46" s="45" t="s">
        <v>339</v>
      </c>
      <c r="G46" s="43" t="n">
        <v>15</v>
      </c>
      <c r="H46" s="32" t="s">
        <v>137</v>
      </c>
      <c r="I46" s="46"/>
      <c r="J46" s="32"/>
    </row>
    <row r="47" customFormat="false" ht="33.75" hidden="false" customHeight="true" outlineLevel="0" collapsed="false">
      <c r="A47" s="42" t="s">
        <v>340</v>
      </c>
      <c r="B47" s="43" t="s">
        <v>325</v>
      </c>
      <c r="C47" s="44" t="s">
        <v>341</v>
      </c>
      <c r="D47" s="45" t="s">
        <v>342</v>
      </c>
      <c r="E47" s="45" t="s">
        <v>343</v>
      </c>
      <c r="F47" s="45" t="s">
        <v>344</v>
      </c>
      <c r="G47" s="43" t="n">
        <v>20</v>
      </c>
      <c r="H47" s="32" t="s">
        <v>137</v>
      </c>
      <c r="I47" s="46"/>
      <c r="J47" s="32"/>
    </row>
    <row r="48" customFormat="false" ht="33.75" hidden="false" customHeight="true" outlineLevel="0" collapsed="false">
      <c r="A48" s="42" t="s">
        <v>345</v>
      </c>
      <c r="B48" s="43" t="s">
        <v>325</v>
      </c>
      <c r="C48" s="44" t="s">
        <v>346</v>
      </c>
      <c r="D48" s="45" t="s">
        <v>347</v>
      </c>
      <c r="E48" s="45" t="s">
        <v>348</v>
      </c>
      <c r="F48" s="45" t="s">
        <v>349</v>
      </c>
      <c r="G48" s="43" t="n">
        <v>30</v>
      </c>
      <c r="H48" s="32" t="s">
        <v>137</v>
      </c>
      <c r="I48" s="46"/>
      <c r="J48" s="32"/>
    </row>
  </sheetData>
  <autoFilter ref="A4:J48"/>
  <mergeCells count="2">
    <mergeCell ref="A1:J1"/>
    <mergeCell ref="A2:J2"/>
  </mergeCells>
  <conditionalFormatting sqref="A5:G48">
    <cfRule type="expression" priority="2" aboveAverage="0" equalAverage="0" bottom="0" percent="0" rank="0" text="" dxfId="10">
      <formula>AND(ISNUMBER($B5),MOD($B5,2)=0)</formula>
    </cfRule>
    <cfRule type="expression" priority="3" aboveAverage="0" equalAverage="0" bottom="0" percent="0" rank="0" text="" dxfId="11">
      <formula>$B5="Bonus"</formula>
    </cfRule>
  </conditionalFormatting>
  <conditionalFormatting sqref="H5:H48">
    <cfRule type="expression" priority="4" aboveAverage="0" equalAverage="0" bottom="0" percent="0" rank="0" text="" dxfId="12">
      <formula>$H5="Not started"</formula>
    </cfRule>
    <cfRule type="expression" priority="5" aboveAverage="0" equalAverage="0" bottom="0" percent="0" rank="0" text="" dxfId="13">
      <formula>$H5="In progress"</formula>
    </cfRule>
    <cfRule type="expression" priority="6" aboveAverage="0" equalAverage="0" bottom="0" percent="0" rank="0" text="" dxfId="14">
      <formula>$H5="Done"</formula>
    </cfRule>
    <cfRule type="expression" priority="7" aboveAverage="0" equalAverage="0" bottom="0" percent="0" rank="0" text="" dxfId="15">
      <formula>$H5="Blocked"</formula>
    </cfRule>
    <cfRule type="expression" priority="8" aboveAverage="0" equalAverage="0" bottom="0" percent="0" rank="0" text="" dxfId="16">
      <formula>$H5="Skipped"</formula>
    </cfRule>
  </conditionalFormatting>
  <dataValidations count="2">
    <dataValidation allowBlank="true" error="Type a date such as 21-Oct-2026." errorStyle="stop" errorTitle="Not a date" operator="greaterThan" prompt="Type like 21-Oct-2026 or press Ctrl + ; for today." promptTitle="Date" showDropDown="false" showErrorMessage="true" showInputMessage="true" sqref="I5:I48" type="date">
      <formula1>43831</formula1>
      <formula2>0</formula2>
    </dataValidation>
    <dataValidation allowBlank="true" error="Please choose one of the options in the dropdown." errorStyle="stop" errorTitle="Pick from the list" operator="between" prompt="Not started, In progress, Done, Blocked or Skipped. Blocked = stuck over 15 min: write why in Notes." promptTitle="Status" showDropDown="false" showErrorMessage="true" showInputMessage="true" sqref="H5:H48" type="list">
      <formula1>Lists!$A$2:$A$6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302A"/>
    <pageSetUpPr fitToPage="true"/>
  </sheetPr>
  <dimension ref="A1:M3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5" topLeftCell="F6" activePane="bottomRight" state="frozen"/>
      <selection pane="topLeft" activeCell="A1" activeCellId="0" sqref="A1"/>
      <selection pane="topRight" activeCell="F1" activeCellId="0" sqref="F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34"/>
    <col collapsed="false" customWidth="true" hidden="false" outlineLevel="0" max="6" min="6" style="0" width="40"/>
    <col collapsed="false" customWidth="true" hidden="false" outlineLevel="0" max="8" min="7" style="0" width="26"/>
    <col collapsed="false" customWidth="true" hidden="false" outlineLevel="0" max="10" min="9" style="0" width="11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28"/>
  </cols>
  <sheetData>
    <row r="1" customFormat="false" ht="30" hidden="false" customHeight="true" outlineLevel="0" collapsed="false">
      <c r="A1" s="1" t="s">
        <v>350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351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1.5" hidden="false" customHeight="true" outlineLevel="0" collapsed="false">
      <c r="A4" s="28" t="s">
        <v>352</v>
      </c>
      <c r="B4" s="28" t="s">
        <v>105</v>
      </c>
      <c r="C4" s="28" t="s">
        <v>353</v>
      </c>
      <c r="D4" s="28" t="s">
        <v>354</v>
      </c>
      <c r="E4" s="28" t="s">
        <v>355</v>
      </c>
      <c r="F4" s="28" t="s">
        <v>356</v>
      </c>
      <c r="G4" s="28" t="s">
        <v>357</v>
      </c>
      <c r="H4" s="28" t="s">
        <v>358</v>
      </c>
      <c r="I4" s="28" t="s">
        <v>63</v>
      </c>
      <c r="J4" s="28" t="s">
        <v>129</v>
      </c>
      <c r="K4" s="28" t="s">
        <v>111</v>
      </c>
      <c r="L4" s="28" t="s">
        <v>359</v>
      </c>
      <c r="M4" s="28" t="s">
        <v>360</v>
      </c>
    </row>
    <row r="5" customFormat="false" ht="61.5" hidden="false" customHeight="true" outlineLevel="0" collapsed="false">
      <c r="A5" s="29" t="s">
        <v>113</v>
      </c>
      <c r="B5" s="30" t="s">
        <v>361</v>
      </c>
      <c r="C5" s="30" t="s">
        <v>114</v>
      </c>
      <c r="D5" s="30" t="s">
        <v>362</v>
      </c>
      <c r="E5" s="30" t="s">
        <v>363</v>
      </c>
      <c r="F5" s="30" t="s">
        <v>364</v>
      </c>
      <c r="G5" s="30" t="s">
        <v>365</v>
      </c>
      <c r="H5" s="30" t="s">
        <v>366</v>
      </c>
      <c r="I5" s="30" t="s">
        <v>69</v>
      </c>
      <c r="J5" s="30" t="s">
        <v>367</v>
      </c>
      <c r="K5" s="30" t="s">
        <v>368</v>
      </c>
      <c r="L5" s="30" t="s">
        <v>369</v>
      </c>
      <c r="M5" s="30"/>
    </row>
    <row r="6" customFormat="false" ht="15" hidden="false" customHeight="false" outlineLevel="0" collapsed="false">
      <c r="A6" s="35" t="str">
        <f aca="false">IF(E6="","","BUG-"&amp;TEXT(ROW()-5,"000"))</f>
        <v/>
      </c>
      <c r="B6" s="46"/>
      <c r="C6" s="32"/>
      <c r="D6" s="32"/>
      <c r="E6" s="32"/>
      <c r="F6" s="32"/>
      <c r="G6" s="32"/>
      <c r="H6" s="32"/>
      <c r="I6" s="34"/>
      <c r="J6" s="34"/>
      <c r="K6" s="32"/>
      <c r="L6" s="32"/>
      <c r="M6" s="47"/>
    </row>
    <row r="7" customFormat="false" ht="15" hidden="false" customHeight="false" outlineLevel="0" collapsed="false">
      <c r="A7" s="35" t="str">
        <f aca="false">IF(E7="","","BUG-"&amp;TEXT(ROW()-5,"000"))</f>
        <v/>
      </c>
      <c r="B7" s="46"/>
      <c r="C7" s="32"/>
      <c r="D7" s="32"/>
      <c r="E7" s="32"/>
      <c r="F7" s="32"/>
      <c r="G7" s="32"/>
      <c r="H7" s="32"/>
      <c r="I7" s="34"/>
      <c r="J7" s="34"/>
      <c r="K7" s="32"/>
      <c r="L7" s="32"/>
      <c r="M7" s="47"/>
    </row>
    <row r="8" customFormat="false" ht="15" hidden="false" customHeight="false" outlineLevel="0" collapsed="false">
      <c r="A8" s="35" t="str">
        <f aca="false">IF(E8="","","BUG-"&amp;TEXT(ROW()-5,"000"))</f>
        <v/>
      </c>
      <c r="B8" s="46"/>
      <c r="C8" s="32"/>
      <c r="D8" s="32"/>
      <c r="E8" s="32"/>
      <c r="F8" s="32"/>
      <c r="G8" s="32"/>
      <c r="H8" s="32"/>
      <c r="I8" s="34"/>
      <c r="J8" s="34"/>
      <c r="K8" s="32"/>
      <c r="L8" s="32"/>
      <c r="M8" s="47"/>
    </row>
    <row r="9" customFormat="false" ht="15" hidden="false" customHeight="false" outlineLevel="0" collapsed="false">
      <c r="A9" s="35" t="str">
        <f aca="false">IF(E9="","","BUG-"&amp;TEXT(ROW()-5,"000"))</f>
        <v/>
      </c>
      <c r="B9" s="46"/>
      <c r="C9" s="32"/>
      <c r="D9" s="32"/>
      <c r="E9" s="32"/>
      <c r="F9" s="32"/>
      <c r="G9" s="32"/>
      <c r="H9" s="32"/>
      <c r="I9" s="34"/>
      <c r="J9" s="34"/>
      <c r="K9" s="32"/>
      <c r="L9" s="32"/>
      <c r="M9" s="47"/>
    </row>
    <row r="10" customFormat="false" ht="15" hidden="false" customHeight="false" outlineLevel="0" collapsed="false">
      <c r="A10" s="35" t="str">
        <f aca="false">IF(E10="","","BUG-"&amp;TEXT(ROW()-5,"000"))</f>
        <v/>
      </c>
      <c r="B10" s="46"/>
      <c r="C10" s="32"/>
      <c r="D10" s="32"/>
      <c r="E10" s="32"/>
      <c r="F10" s="32"/>
      <c r="G10" s="32"/>
      <c r="H10" s="32"/>
      <c r="I10" s="34"/>
      <c r="J10" s="34"/>
      <c r="K10" s="32"/>
      <c r="L10" s="32"/>
      <c r="M10" s="47"/>
    </row>
    <row r="11" customFormat="false" ht="15" hidden="false" customHeight="false" outlineLevel="0" collapsed="false">
      <c r="A11" s="35" t="str">
        <f aca="false">IF(E11="","","BUG-"&amp;TEXT(ROW()-5,"000"))</f>
        <v/>
      </c>
      <c r="B11" s="46"/>
      <c r="C11" s="32"/>
      <c r="D11" s="32"/>
      <c r="E11" s="32"/>
      <c r="F11" s="32"/>
      <c r="G11" s="32"/>
      <c r="H11" s="32"/>
      <c r="I11" s="34"/>
      <c r="J11" s="34"/>
      <c r="K11" s="32"/>
      <c r="L11" s="32"/>
      <c r="M11" s="47"/>
    </row>
    <row r="12" customFormat="false" ht="15" hidden="false" customHeight="false" outlineLevel="0" collapsed="false">
      <c r="A12" s="35" t="str">
        <f aca="false">IF(E12="","","BUG-"&amp;TEXT(ROW()-5,"000"))</f>
        <v/>
      </c>
      <c r="B12" s="46"/>
      <c r="C12" s="32"/>
      <c r="D12" s="32"/>
      <c r="E12" s="32"/>
      <c r="F12" s="32"/>
      <c r="G12" s="32"/>
      <c r="H12" s="32"/>
      <c r="I12" s="34"/>
      <c r="J12" s="34"/>
      <c r="K12" s="32"/>
      <c r="L12" s="32"/>
      <c r="M12" s="47"/>
    </row>
    <row r="13" customFormat="false" ht="15" hidden="false" customHeight="false" outlineLevel="0" collapsed="false">
      <c r="A13" s="35" t="str">
        <f aca="false">IF(E13="","","BUG-"&amp;TEXT(ROW()-5,"000"))</f>
        <v/>
      </c>
      <c r="B13" s="46"/>
      <c r="C13" s="32"/>
      <c r="D13" s="32"/>
      <c r="E13" s="32"/>
      <c r="F13" s="32"/>
      <c r="G13" s="32"/>
      <c r="H13" s="32"/>
      <c r="I13" s="34"/>
      <c r="J13" s="34"/>
      <c r="K13" s="32"/>
      <c r="L13" s="32"/>
      <c r="M13" s="47"/>
    </row>
    <row r="14" customFormat="false" ht="15" hidden="false" customHeight="false" outlineLevel="0" collapsed="false">
      <c r="A14" s="35" t="str">
        <f aca="false">IF(E14="","","BUG-"&amp;TEXT(ROW()-5,"000"))</f>
        <v/>
      </c>
      <c r="B14" s="46"/>
      <c r="C14" s="32"/>
      <c r="D14" s="32"/>
      <c r="E14" s="32"/>
      <c r="F14" s="32"/>
      <c r="G14" s="32"/>
      <c r="H14" s="32"/>
      <c r="I14" s="34"/>
      <c r="J14" s="34"/>
      <c r="K14" s="32"/>
      <c r="L14" s="32"/>
      <c r="M14" s="47"/>
    </row>
    <row r="15" customFormat="false" ht="15" hidden="false" customHeight="false" outlineLevel="0" collapsed="false">
      <c r="A15" s="35" t="str">
        <f aca="false">IF(E15="","","BUG-"&amp;TEXT(ROW()-5,"000"))</f>
        <v/>
      </c>
      <c r="B15" s="46"/>
      <c r="C15" s="32"/>
      <c r="D15" s="32"/>
      <c r="E15" s="32"/>
      <c r="F15" s="32"/>
      <c r="G15" s="32"/>
      <c r="H15" s="32"/>
      <c r="I15" s="34"/>
      <c r="J15" s="34"/>
      <c r="K15" s="32"/>
      <c r="L15" s="32"/>
      <c r="M15" s="47"/>
    </row>
    <row r="16" customFormat="false" ht="15" hidden="false" customHeight="false" outlineLevel="0" collapsed="false">
      <c r="A16" s="35" t="str">
        <f aca="false">IF(E16="","","BUG-"&amp;TEXT(ROW()-5,"000"))</f>
        <v/>
      </c>
      <c r="B16" s="46"/>
      <c r="C16" s="32"/>
      <c r="D16" s="32"/>
      <c r="E16" s="32"/>
      <c r="F16" s="32"/>
      <c r="G16" s="32"/>
      <c r="H16" s="32"/>
      <c r="I16" s="34"/>
      <c r="J16" s="34"/>
      <c r="K16" s="32"/>
      <c r="L16" s="32"/>
      <c r="M16" s="47"/>
    </row>
    <row r="17" customFormat="false" ht="15" hidden="false" customHeight="false" outlineLevel="0" collapsed="false">
      <c r="A17" s="35" t="str">
        <f aca="false">IF(E17="","","BUG-"&amp;TEXT(ROW()-5,"000"))</f>
        <v/>
      </c>
      <c r="B17" s="46"/>
      <c r="C17" s="32"/>
      <c r="D17" s="32"/>
      <c r="E17" s="32"/>
      <c r="F17" s="32"/>
      <c r="G17" s="32"/>
      <c r="H17" s="32"/>
      <c r="I17" s="34"/>
      <c r="J17" s="34"/>
      <c r="K17" s="32"/>
      <c r="L17" s="32"/>
      <c r="M17" s="47"/>
    </row>
    <row r="18" customFormat="false" ht="15" hidden="false" customHeight="false" outlineLevel="0" collapsed="false">
      <c r="A18" s="35" t="str">
        <f aca="false">IF(E18="","","BUG-"&amp;TEXT(ROW()-5,"000"))</f>
        <v/>
      </c>
      <c r="B18" s="46"/>
      <c r="C18" s="32"/>
      <c r="D18" s="32"/>
      <c r="E18" s="32"/>
      <c r="F18" s="32"/>
      <c r="G18" s="32"/>
      <c r="H18" s="32"/>
      <c r="I18" s="34"/>
      <c r="J18" s="34"/>
      <c r="K18" s="32"/>
      <c r="L18" s="32"/>
      <c r="M18" s="47"/>
    </row>
    <row r="19" customFormat="false" ht="15" hidden="false" customHeight="false" outlineLevel="0" collapsed="false">
      <c r="A19" s="35" t="str">
        <f aca="false">IF(E19="","","BUG-"&amp;TEXT(ROW()-5,"000"))</f>
        <v/>
      </c>
      <c r="B19" s="46"/>
      <c r="C19" s="32"/>
      <c r="D19" s="32"/>
      <c r="E19" s="32"/>
      <c r="F19" s="32"/>
      <c r="G19" s="32"/>
      <c r="H19" s="32"/>
      <c r="I19" s="34"/>
      <c r="J19" s="34"/>
      <c r="K19" s="32"/>
      <c r="L19" s="32"/>
      <c r="M19" s="47"/>
    </row>
    <row r="20" customFormat="false" ht="15" hidden="false" customHeight="false" outlineLevel="0" collapsed="false">
      <c r="A20" s="35" t="str">
        <f aca="false">IF(E20="","","BUG-"&amp;TEXT(ROW()-5,"000"))</f>
        <v/>
      </c>
      <c r="B20" s="46"/>
      <c r="C20" s="32"/>
      <c r="D20" s="32"/>
      <c r="E20" s="32"/>
      <c r="F20" s="32"/>
      <c r="G20" s="32"/>
      <c r="H20" s="32"/>
      <c r="I20" s="34"/>
      <c r="J20" s="34"/>
      <c r="K20" s="32"/>
      <c r="L20" s="32"/>
      <c r="M20" s="47"/>
    </row>
    <row r="21" customFormat="false" ht="15" hidden="false" customHeight="false" outlineLevel="0" collapsed="false">
      <c r="A21" s="35" t="str">
        <f aca="false">IF(E21="","","BUG-"&amp;TEXT(ROW()-5,"000"))</f>
        <v/>
      </c>
      <c r="B21" s="46"/>
      <c r="C21" s="32"/>
      <c r="D21" s="32"/>
      <c r="E21" s="32"/>
      <c r="F21" s="32"/>
      <c r="G21" s="32"/>
      <c r="H21" s="32"/>
      <c r="I21" s="34"/>
      <c r="J21" s="34"/>
      <c r="K21" s="32"/>
      <c r="L21" s="32"/>
      <c r="M21" s="47"/>
    </row>
    <row r="22" customFormat="false" ht="15" hidden="false" customHeight="false" outlineLevel="0" collapsed="false">
      <c r="A22" s="35" t="str">
        <f aca="false">IF(E22="","","BUG-"&amp;TEXT(ROW()-5,"000"))</f>
        <v/>
      </c>
      <c r="B22" s="46"/>
      <c r="C22" s="32"/>
      <c r="D22" s="32"/>
      <c r="E22" s="32"/>
      <c r="F22" s="32"/>
      <c r="G22" s="32"/>
      <c r="H22" s="32"/>
      <c r="I22" s="34"/>
      <c r="J22" s="34"/>
      <c r="K22" s="32"/>
      <c r="L22" s="32"/>
      <c r="M22" s="47"/>
    </row>
    <row r="23" customFormat="false" ht="15" hidden="false" customHeight="false" outlineLevel="0" collapsed="false">
      <c r="A23" s="35" t="str">
        <f aca="false">IF(E23="","","BUG-"&amp;TEXT(ROW()-5,"000"))</f>
        <v/>
      </c>
      <c r="B23" s="46"/>
      <c r="C23" s="32"/>
      <c r="D23" s="32"/>
      <c r="E23" s="32"/>
      <c r="F23" s="32"/>
      <c r="G23" s="32"/>
      <c r="H23" s="32"/>
      <c r="I23" s="34"/>
      <c r="J23" s="34"/>
      <c r="K23" s="32"/>
      <c r="L23" s="32"/>
      <c r="M23" s="47"/>
    </row>
    <row r="24" customFormat="false" ht="15" hidden="false" customHeight="false" outlineLevel="0" collapsed="false">
      <c r="A24" s="35" t="str">
        <f aca="false">IF(E24="","","BUG-"&amp;TEXT(ROW()-5,"000"))</f>
        <v/>
      </c>
      <c r="B24" s="46"/>
      <c r="C24" s="32"/>
      <c r="D24" s="32"/>
      <c r="E24" s="32"/>
      <c r="F24" s="32"/>
      <c r="G24" s="32"/>
      <c r="H24" s="32"/>
      <c r="I24" s="34"/>
      <c r="J24" s="34"/>
      <c r="K24" s="32"/>
      <c r="L24" s="32"/>
      <c r="M24" s="47"/>
    </row>
    <row r="25" customFormat="false" ht="15" hidden="false" customHeight="false" outlineLevel="0" collapsed="false">
      <c r="A25" s="35" t="str">
        <f aca="false">IF(E25="","","BUG-"&amp;TEXT(ROW()-5,"000"))</f>
        <v/>
      </c>
      <c r="B25" s="46"/>
      <c r="C25" s="32"/>
      <c r="D25" s="32"/>
      <c r="E25" s="32"/>
      <c r="F25" s="32"/>
      <c r="G25" s="32"/>
      <c r="H25" s="32"/>
      <c r="I25" s="34"/>
      <c r="J25" s="34"/>
      <c r="K25" s="32"/>
      <c r="L25" s="32"/>
      <c r="M25" s="47"/>
    </row>
    <row r="26" customFormat="false" ht="15" hidden="false" customHeight="false" outlineLevel="0" collapsed="false">
      <c r="A26" s="35" t="str">
        <f aca="false">IF(E26="","","BUG-"&amp;TEXT(ROW()-5,"000"))</f>
        <v/>
      </c>
      <c r="B26" s="46"/>
      <c r="C26" s="32"/>
      <c r="D26" s="32"/>
      <c r="E26" s="32"/>
      <c r="F26" s="32"/>
      <c r="G26" s="32"/>
      <c r="H26" s="32"/>
      <c r="I26" s="34"/>
      <c r="J26" s="34"/>
      <c r="K26" s="32"/>
      <c r="L26" s="32"/>
      <c r="M26" s="47"/>
    </row>
    <row r="27" customFormat="false" ht="15" hidden="false" customHeight="false" outlineLevel="0" collapsed="false">
      <c r="A27" s="35" t="str">
        <f aca="false">IF(E27="","","BUG-"&amp;TEXT(ROW()-5,"000"))</f>
        <v/>
      </c>
      <c r="B27" s="46"/>
      <c r="C27" s="32"/>
      <c r="D27" s="32"/>
      <c r="E27" s="32"/>
      <c r="F27" s="32"/>
      <c r="G27" s="32"/>
      <c r="H27" s="32"/>
      <c r="I27" s="34"/>
      <c r="J27" s="34"/>
      <c r="K27" s="32"/>
      <c r="L27" s="32"/>
      <c r="M27" s="47"/>
    </row>
    <row r="28" customFormat="false" ht="15" hidden="false" customHeight="false" outlineLevel="0" collapsed="false">
      <c r="A28" s="35" t="str">
        <f aca="false">IF(E28="","","BUG-"&amp;TEXT(ROW()-5,"000"))</f>
        <v/>
      </c>
      <c r="B28" s="46"/>
      <c r="C28" s="32"/>
      <c r="D28" s="32"/>
      <c r="E28" s="32"/>
      <c r="F28" s="32"/>
      <c r="G28" s="32"/>
      <c r="H28" s="32"/>
      <c r="I28" s="34"/>
      <c r="J28" s="34"/>
      <c r="K28" s="32"/>
      <c r="L28" s="32"/>
      <c r="M28" s="47"/>
    </row>
    <row r="29" customFormat="false" ht="15" hidden="false" customHeight="false" outlineLevel="0" collapsed="false">
      <c r="A29" s="35" t="str">
        <f aca="false">IF(E29="","","BUG-"&amp;TEXT(ROW()-5,"000"))</f>
        <v/>
      </c>
      <c r="B29" s="46"/>
      <c r="C29" s="32"/>
      <c r="D29" s="32"/>
      <c r="E29" s="32"/>
      <c r="F29" s="32"/>
      <c r="G29" s="32"/>
      <c r="H29" s="32"/>
      <c r="I29" s="34"/>
      <c r="J29" s="34"/>
      <c r="K29" s="32"/>
      <c r="L29" s="32"/>
      <c r="M29" s="47"/>
    </row>
    <row r="30" customFormat="false" ht="15" hidden="false" customHeight="false" outlineLevel="0" collapsed="false">
      <c r="A30" s="35" t="str">
        <f aca="false">IF(E30="","","BUG-"&amp;TEXT(ROW()-5,"000"))</f>
        <v/>
      </c>
      <c r="B30" s="46"/>
      <c r="C30" s="32"/>
      <c r="D30" s="32"/>
      <c r="E30" s="32"/>
      <c r="F30" s="32"/>
      <c r="G30" s="32"/>
      <c r="H30" s="32"/>
      <c r="I30" s="34"/>
      <c r="J30" s="34"/>
      <c r="K30" s="32"/>
      <c r="L30" s="32"/>
      <c r="M30" s="47"/>
    </row>
    <row r="31" customFormat="false" ht="15" hidden="false" customHeight="false" outlineLevel="0" collapsed="false">
      <c r="A31" s="35" t="str">
        <f aca="false">IF(E31="","","BUG-"&amp;TEXT(ROW()-5,"000"))</f>
        <v/>
      </c>
      <c r="B31" s="46"/>
      <c r="C31" s="32"/>
      <c r="D31" s="32"/>
      <c r="E31" s="32"/>
      <c r="F31" s="32"/>
      <c r="G31" s="32"/>
      <c r="H31" s="32"/>
      <c r="I31" s="34"/>
      <c r="J31" s="34"/>
      <c r="K31" s="32"/>
      <c r="L31" s="32"/>
      <c r="M31" s="47"/>
    </row>
    <row r="32" customFormat="false" ht="15" hidden="false" customHeight="false" outlineLevel="0" collapsed="false">
      <c r="A32" s="35" t="str">
        <f aca="false">IF(E32="","","BUG-"&amp;TEXT(ROW()-5,"000"))</f>
        <v/>
      </c>
      <c r="B32" s="46"/>
      <c r="C32" s="32"/>
      <c r="D32" s="32"/>
      <c r="E32" s="32"/>
      <c r="F32" s="32"/>
      <c r="G32" s="32"/>
      <c r="H32" s="32"/>
      <c r="I32" s="34"/>
      <c r="J32" s="34"/>
      <c r="K32" s="32"/>
      <c r="L32" s="32"/>
      <c r="M32" s="47"/>
    </row>
    <row r="33" customFormat="false" ht="15" hidden="false" customHeight="false" outlineLevel="0" collapsed="false">
      <c r="A33" s="35" t="str">
        <f aca="false">IF(E33="","","BUG-"&amp;TEXT(ROW()-5,"000"))</f>
        <v/>
      </c>
      <c r="B33" s="46"/>
      <c r="C33" s="32"/>
      <c r="D33" s="32"/>
      <c r="E33" s="32"/>
      <c r="F33" s="32"/>
      <c r="G33" s="32"/>
      <c r="H33" s="32"/>
      <c r="I33" s="34"/>
      <c r="J33" s="34"/>
      <c r="K33" s="32"/>
      <c r="L33" s="32"/>
      <c r="M33" s="47"/>
    </row>
    <row r="34" customFormat="false" ht="15" hidden="false" customHeight="false" outlineLevel="0" collapsed="false">
      <c r="A34" s="35" t="str">
        <f aca="false">IF(E34="","","BUG-"&amp;TEXT(ROW()-5,"000"))</f>
        <v/>
      </c>
      <c r="B34" s="46"/>
      <c r="C34" s="32"/>
      <c r="D34" s="32"/>
      <c r="E34" s="32"/>
      <c r="F34" s="32"/>
      <c r="G34" s="32"/>
      <c r="H34" s="32"/>
      <c r="I34" s="34"/>
      <c r="J34" s="34"/>
      <c r="K34" s="32"/>
      <c r="L34" s="32"/>
      <c r="M34" s="47"/>
    </row>
    <row r="35" customFormat="false" ht="15" hidden="false" customHeight="false" outlineLevel="0" collapsed="false">
      <c r="A35" s="35" t="str">
        <f aca="false">IF(E35="","","BUG-"&amp;TEXT(ROW()-5,"000"))</f>
        <v/>
      </c>
      <c r="B35" s="46"/>
      <c r="C35" s="32"/>
      <c r="D35" s="32"/>
      <c r="E35" s="32"/>
      <c r="F35" s="32"/>
      <c r="G35" s="32"/>
      <c r="H35" s="32"/>
      <c r="I35" s="34"/>
      <c r="J35" s="34"/>
      <c r="K35" s="32"/>
      <c r="L35" s="32"/>
      <c r="M35" s="47"/>
    </row>
    <row r="36" customFormat="false" ht="15" hidden="false" customHeight="false" outlineLevel="0" collapsed="false">
      <c r="A36" s="35" t="str">
        <f aca="false">IF(E36="","","BUG-"&amp;TEXT(ROW()-5,"000"))</f>
        <v/>
      </c>
      <c r="B36" s="46"/>
      <c r="C36" s="32"/>
      <c r="D36" s="32"/>
      <c r="E36" s="32"/>
      <c r="F36" s="32"/>
      <c r="G36" s="32"/>
      <c r="H36" s="32"/>
      <c r="I36" s="34"/>
      <c r="J36" s="34"/>
      <c r="K36" s="32"/>
      <c r="L36" s="32"/>
      <c r="M36" s="47"/>
    </row>
    <row r="37" customFormat="false" ht="15" hidden="false" customHeight="false" outlineLevel="0" collapsed="false">
      <c r="A37" s="35" t="str">
        <f aca="false">IF(E37="","","BUG-"&amp;TEXT(ROW()-5,"000"))</f>
        <v/>
      </c>
      <c r="B37" s="46"/>
      <c r="C37" s="32"/>
      <c r="D37" s="32"/>
      <c r="E37" s="32"/>
      <c r="F37" s="32"/>
      <c r="G37" s="32"/>
      <c r="H37" s="32"/>
      <c r="I37" s="34"/>
      <c r="J37" s="34"/>
      <c r="K37" s="32"/>
      <c r="L37" s="32"/>
      <c r="M37" s="47"/>
    </row>
    <row r="38" customFormat="false" ht="15" hidden="false" customHeight="false" outlineLevel="0" collapsed="false">
      <c r="A38" s="35" t="str">
        <f aca="false">IF(E38="","","BUG-"&amp;TEXT(ROW()-5,"000"))</f>
        <v/>
      </c>
      <c r="B38" s="46"/>
      <c r="C38" s="32"/>
      <c r="D38" s="32"/>
      <c r="E38" s="32"/>
      <c r="F38" s="32"/>
      <c r="G38" s="32"/>
      <c r="H38" s="32"/>
      <c r="I38" s="34"/>
      <c r="J38" s="34"/>
      <c r="K38" s="32"/>
      <c r="L38" s="32"/>
      <c r="M38" s="47"/>
    </row>
    <row r="39" customFormat="false" ht="15" hidden="false" customHeight="false" outlineLevel="0" collapsed="false">
      <c r="A39" s="35" t="str">
        <f aca="false">IF(E39="","","BUG-"&amp;TEXT(ROW()-5,"000"))</f>
        <v/>
      </c>
      <c r="B39" s="46"/>
      <c r="C39" s="32"/>
      <c r="D39" s="32"/>
      <c r="E39" s="32"/>
      <c r="F39" s="32"/>
      <c r="G39" s="32"/>
      <c r="H39" s="32"/>
      <c r="I39" s="34"/>
      <c r="J39" s="34"/>
      <c r="K39" s="32"/>
      <c r="L39" s="32"/>
      <c r="M39" s="47"/>
    </row>
    <row r="40" customFormat="false" ht="15" hidden="false" customHeight="false" outlineLevel="0" collapsed="false">
      <c r="A40" s="35" t="str">
        <f aca="false">IF(E40="","","BUG-"&amp;TEXT(ROW()-5,"000"))</f>
        <v/>
      </c>
      <c r="B40" s="46"/>
      <c r="C40" s="32"/>
      <c r="D40" s="32"/>
      <c r="E40" s="32"/>
      <c r="F40" s="32"/>
      <c r="G40" s="32"/>
      <c r="H40" s="32"/>
      <c r="I40" s="34"/>
      <c r="J40" s="34"/>
      <c r="K40" s="32"/>
      <c r="L40" s="32"/>
      <c r="M40" s="47"/>
    </row>
    <row r="41" customFormat="false" ht="15" hidden="false" customHeight="false" outlineLevel="0" collapsed="false">
      <c r="A41" s="35" t="str">
        <f aca="false">IF(E41="","","BUG-"&amp;TEXT(ROW()-5,"000"))</f>
        <v/>
      </c>
      <c r="B41" s="46"/>
      <c r="C41" s="32"/>
      <c r="D41" s="32"/>
      <c r="E41" s="32"/>
      <c r="F41" s="32"/>
      <c r="G41" s="32"/>
      <c r="H41" s="32"/>
      <c r="I41" s="34"/>
      <c r="J41" s="34"/>
      <c r="K41" s="32"/>
      <c r="L41" s="32"/>
      <c r="M41" s="47"/>
    </row>
    <row r="42" customFormat="false" ht="15" hidden="false" customHeight="false" outlineLevel="0" collapsed="false">
      <c r="A42" s="35" t="str">
        <f aca="false">IF(E42="","","BUG-"&amp;TEXT(ROW()-5,"000"))</f>
        <v/>
      </c>
      <c r="B42" s="46"/>
      <c r="C42" s="32"/>
      <c r="D42" s="32"/>
      <c r="E42" s="32"/>
      <c r="F42" s="32"/>
      <c r="G42" s="32"/>
      <c r="H42" s="32"/>
      <c r="I42" s="34"/>
      <c r="J42" s="34"/>
      <c r="K42" s="32"/>
      <c r="L42" s="32"/>
      <c r="M42" s="47"/>
    </row>
    <row r="43" customFormat="false" ht="15" hidden="false" customHeight="false" outlineLevel="0" collapsed="false">
      <c r="A43" s="35" t="str">
        <f aca="false">IF(E43="","","BUG-"&amp;TEXT(ROW()-5,"000"))</f>
        <v/>
      </c>
      <c r="B43" s="46"/>
      <c r="C43" s="32"/>
      <c r="D43" s="32"/>
      <c r="E43" s="32"/>
      <c r="F43" s="32"/>
      <c r="G43" s="32"/>
      <c r="H43" s="32"/>
      <c r="I43" s="34"/>
      <c r="J43" s="34"/>
      <c r="K43" s="32"/>
      <c r="L43" s="32"/>
      <c r="M43" s="47"/>
    </row>
    <row r="44" customFormat="false" ht="15" hidden="false" customHeight="false" outlineLevel="0" collapsed="false">
      <c r="A44" s="35" t="str">
        <f aca="false">IF(E44="","","BUG-"&amp;TEXT(ROW()-5,"000"))</f>
        <v/>
      </c>
      <c r="B44" s="46"/>
      <c r="C44" s="32"/>
      <c r="D44" s="32"/>
      <c r="E44" s="32"/>
      <c r="F44" s="32"/>
      <c r="G44" s="32"/>
      <c r="H44" s="32"/>
      <c r="I44" s="34"/>
      <c r="J44" s="34"/>
      <c r="K44" s="32"/>
      <c r="L44" s="32"/>
      <c r="M44" s="47"/>
    </row>
    <row r="45" customFormat="false" ht="15" hidden="false" customHeight="false" outlineLevel="0" collapsed="false">
      <c r="A45" s="35" t="str">
        <f aca="false">IF(E45="","","BUG-"&amp;TEXT(ROW()-5,"000"))</f>
        <v/>
      </c>
      <c r="B45" s="46"/>
      <c r="C45" s="32"/>
      <c r="D45" s="32"/>
      <c r="E45" s="32"/>
      <c r="F45" s="32"/>
      <c r="G45" s="32"/>
      <c r="H45" s="32"/>
      <c r="I45" s="34"/>
      <c r="J45" s="34"/>
      <c r="K45" s="32"/>
      <c r="L45" s="32"/>
      <c r="M45" s="47"/>
    </row>
    <row r="46" customFormat="false" ht="15" hidden="false" customHeight="false" outlineLevel="0" collapsed="false">
      <c r="A46" s="35" t="str">
        <f aca="false">IF(E46="","","BUG-"&amp;TEXT(ROW()-5,"000"))</f>
        <v/>
      </c>
      <c r="B46" s="46"/>
      <c r="C46" s="32"/>
      <c r="D46" s="32"/>
      <c r="E46" s="32"/>
      <c r="F46" s="32"/>
      <c r="G46" s="32"/>
      <c r="H46" s="32"/>
      <c r="I46" s="34"/>
      <c r="J46" s="34"/>
      <c r="K46" s="32"/>
      <c r="L46" s="32"/>
      <c r="M46" s="47"/>
    </row>
    <row r="47" customFormat="false" ht="15" hidden="false" customHeight="false" outlineLevel="0" collapsed="false">
      <c r="A47" s="35" t="str">
        <f aca="false">IF(E47="","","BUG-"&amp;TEXT(ROW()-5,"000"))</f>
        <v/>
      </c>
      <c r="B47" s="46"/>
      <c r="C47" s="32"/>
      <c r="D47" s="32"/>
      <c r="E47" s="32"/>
      <c r="F47" s="32"/>
      <c r="G47" s="32"/>
      <c r="H47" s="32"/>
      <c r="I47" s="34"/>
      <c r="J47" s="34"/>
      <c r="K47" s="32"/>
      <c r="L47" s="32"/>
      <c r="M47" s="47"/>
    </row>
    <row r="48" customFormat="false" ht="15" hidden="false" customHeight="false" outlineLevel="0" collapsed="false">
      <c r="A48" s="35" t="str">
        <f aca="false">IF(E48="","","BUG-"&amp;TEXT(ROW()-5,"000"))</f>
        <v/>
      </c>
      <c r="B48" s="46"/>
      <c r="C48" s="32"/>
      <c r="D48" s="32"/>
      <c r="E48" s="32"/>
      <c r="F48" s="32"/>
      <c r="G48" s="32"/>
      <c r="H48" s="32"/>
      <c r="I48" s="34"/>
      <c r="J48" s="34"/>
      <c r="K48" s="32"/>
      <c r="L48" s="32"/>
      <c r="M48" s="47"/>
    </row>
    <row r="49" customFormat="false" ht="15" hidden="false" customHeight="false" outlineLevel="0" collapsed="false">
      <c r="A49" s="35" t="str">
        <f aca="false">IF(E49="","","BUG-"&amp;TEXT(ROW()-5,"000"))</f>
        <v/>
      </c>
      <c r="B49" s="46"/>
      <c r="C49" s="32"/>
      <c r="D49" s="32"/>
      <c r="E49" s="32"/>
      <c r="F49" s="32"/>
      <c r="G49" s="32"/>
      <c r="H49" s="32"/>
      <c r="I49" s="34"/>
      <c r="J49" s="34"/>
      <c r="K49" s="32"/>
      <c r="L49" s="32"/>
      <c r="M49" s="47"/>
    </row>
    <row r="50" customFormat="false" ht="15" hidden="false" customHeight="false" outlineLevel="0" collapsed="false">
      <c r="A50" s="35" t="str">
        <f aca="false">IF(E50="","","BUG-"&amp;TEXT(ROW()-5,"000"))</f>
        <v/>
      </c>
      <c r="B50" s="46"/>
      <c r="C50" s="32"/>
      <c r="D50" s="32"/>
      <c r="E50" s="32"/>
      <c r="F50" s="32"/>
      <c r="G50" s="32"/>
      <c r="H50" s="32"/>
      <c r="I50" s="34"/>
      <c r="J50" s="34"/>
      <c r="K50" s="32"/>
      <c r="L50" s="32"/>
      <c r="M50" s="47"/>
    </row>
    <row r="51" customFormat="false" ht="15" hidden="false" customHeight="false" outlineLevel="0" collapsed="false">
      <c r="A51" s="35" t="str">
        <f aca="false">IF(E51="","","BUG-"&amp;TEXT(ROW()-5,"000"))</f>
        <v/>
      </c>
      <c r="B51" s="46"/>
      <c r="C51" s="32"/>
      <c r="D51" s="32"/>
      <c r="E51" s="32"/>
      <c r="F51" s="32"/>
      <c r="G51" s="32"/>
      <c r="H51" s="32"/>
      <c r="I51" s="34"/>
      <c r="J51" s="34"/>
      <c r="K51" s="32"/>
      <c r="L51" s="32"/>
      <c r="M51" s="47"/>
    </row>
    <row r="52" customFormat="false" ht="15" hidden="false" customHeight="false" outlineLevel="0" collapsed="false">
      <c r="A52" s="35" t="str">
        <f aca="false">IF(E52="","","BUG-"&amp;TEXT(ROW()-5,"000"))</f>
        <v/>
      </c>
      <c r="B52" s="46"/>
      <c r="C52" s="32"/>
      <c r="D52" s="32"/>
      <c r="E52" s="32"/>
      <c r="F52" s="32"/>
      <c r="G52" s="32"/>
      <c r="H52" s="32"/>
      <c r="I52" s="34"/>
      <c r="J52" s="34"/>
      <c r="K52" s="32"/>
      <c r="L52" s="32"/>
      <c r="M52" s="47"/>
    </row>
    <row r="53" customFormat="false" ht="15" hidden="false" customHeight="false" outlineLevel="0" collapsed="false">
      <c r="A53" s="35" t="str">
        <f aca="false">IF(E53="","","BUG-"&amp;TEXT(ROW()-5,"000"))</f>
        <v/>
      </c>
      <c r="B53" s="46"/>
      <c r="C53" s="32"/>
      <c r="D53" s="32"/>
      <c r="E53" s="32"/>
      <c r="F53" s="32"/>
      <c r="G53" s="32"/>
      <c r="H53" s="32"/>
      <c r="I53" s="34"/>
      <c r="J53" s="34"/>
      <c r="K53" s="32"/>
      <c r="L53" s="32"/>
      <c r="M53" s="47"/>
    </row>
    <row r="54" customFormat="false" ht="15" hidden="false" customHeight="false" outlineLevel="0" collapsed="false">
      <c r="A54" s="35" t="str">
        <f aca="false">IF(E54="","","BUG-"&amp;TEXT(ROW()-5,"000"))</f>
        <v/>
      </c>
      <c r="B54" s="46"/>
      <c r="C54" s="32"/>
      <c r="D54" s="32"/>
      <c r="E54" s="32"/>
      <c r="F54" s="32"/>
      <c r="G54" s="32"/>
      <c r="H54" s="32"/>
      <c r="I54" s="34"/>
      <c r="J54" s="34"/>
      <c r="K54" s="32"/>
      <c r="L54" s="32"/>
      <c r="M54" s="47"/>
    </row>
    <row r="55" customFormat="false" ht="15" hidden="false" customHeight="false" outlineLevel="0" collapsed="false">
      <c r="A55" s="35" t="str">
        <f aca="false">IF(E55="","","BUG-"&amp;TEXT(ROW()-5,"000"))</f>
        <v/>
      </c>
      <c r="B55" s="46"/>
      <c r="C55" s="32"/>
      <c r="D55" s="32"/>
      <c r="E55" s="32"/>
      <c r="F55" s="32"/>
      <c r="G55" s="32"/>
      <c r="H55" s="32"/>
      <c r="I55" s="34"/>
      <c r="J55" s="34"/>
      <c r="K55" s="32"/>
      <c r="L55" s="32"/>
      <c r="M55" s="47"/>
    </row>
    <row r="56" customFormat="false" ht="15" hidden="false" customHeight="false" outlineLevel="0" collapsed="false">
      <c r="A56" s="35" t="str">
        <f aca="false">IF(E56="","","BUG-"&amp;TEXT(ROW()-5,"000"))</f>
        <v/>
      </c>
      <c r="B56" s="46"/>
      <c r="C56" s="32"/>
      <c r="D56" s="32"/>
      <c r="E56" s="32"/>
      <c r="F56" s="32"/>
      <c r="G56" s="32"/>
      <c r="H56" s="32"/>
      <c r="I56" s="34"/>
      <c r="J56" s="34"/>
      <c r="K56" s="32"/>
      <c r="L56" s="32"/>
      <c r="M56" s="47"/>
    </row>
    <row r="57" customFormat="false" ht="15" hidden="false" customHeight="false" outlineLevel="0" collapsed="false">
      <c r="A57" s="35" t="str">
        <f aca="false">IF(E57="","","BUG-"&amp;TEXT(ROW()-5,"000"))</f>
        <v/>
      </c>
      <c r="B57" s="46"/>
      <c r="C57" s="32"/>
      <c r="D57" s="32"/>
      <c r="E57" s="32"/>
      <c r="F57" s="32"/>
      <c r="G57" s="32"/>
      <c r="H57" s="32"/>
      <c r="I57" s="34"/>
      <c r="J57" s="34"/>
      <c r="K57" s="32"/>
      <c r="L57" s="32"/>
      <c r="M57" s="47"/>
    </row>
    <row r="58" customFormat="false" ht="15" hidden="false" customHeight="false" outlineLevel="0" collapsed="false">
      <c r="A58" s="35" t="str">
        <f aca="false">IF(E58="","","BUG-"&amp;TEXT(ROW()-5,"000"))</f>
        <v/>
      </c>
      <c r="B58" s="46"/>
      <c r="C58" s="32"/>
      <c r="D58" s="32"/>
      <c r="E58" s="32"/>
      <c r="F58" s="32"/>
      <c r="G58" s="32"/>
      <c r="H58" s="32"/>
      <c r="I58" s="34"/>
      <c r="J58" s="34"/>
      <c r="K58" s="32"/>
      <c r="L58" s="32"/>
      <c r="M58" s="47"/>
    </row>
    <row r="59" customFormat="false" ht="15" hidden="false" customHeight="false" outlineLevel="0" collapsed="false">
      <c r="A59" s="35" t="str">
        <f aca="false">IF(E59="","","BUG-"&amp;TEXT(ROW()-5,"000"))</f>
        <v/>
      </c>
      <c r="B59" s="46"/>
      <c r="C59" s="32"/>
      <c r="D59" s="32"/>
      <c r="E59" s="32"/>
      <c r="F59" s="32"/>
      <c r="G59" s="32"/>
      <c r="H59" s="32"/>
      <c r="I59" s="34"/>
      <c r="J59" s="34"/>
      <c r="K59" s="32"/>
      <c r="L59" s="32"/>
      <c r="M59" s="47"/>
    </row>
    <row r="60" customFormat="false" ht="15" hidden="false" customHeight="false" outlineLevel="0" collapsed="false">
      <c r="A60" s="35" t="str">
        <f aca="false">IF(E60="","","BUG-"&amp;TEXT(ROW()-5,"000"))</f>
        <v/>
      </c>
      <c r="B60" s="46"/>
      <c r="C60" s="32"/>
      <c r="D60" s="32"/>
      <c r="E60" s="32"/>
      <c r="F60" s="32"/>
      <c r="G60" s="32"/>
      <c r="H60" s="32"/>
      <c r="I60" s="34"/>
      <c r="J60" s="34"/>
      <c r="K60" s="32"/>
      <c r="L60" s="32"/>
      <c r="M60" s="47"/>
    </row>
    <row r="61" customFormat="false" ht="15" hidden="false" customHeight="false" outlineLevel="0" collapsed="false">
      <c r="A61" s="35" t="str">
        <f aca="false">IF(E61="","","BUG-"&amp;TEXT(ROW()-5,"000"))</f>
        <v/>
      </c>
      <c r="B61" s="46"/>
      <c r="C61" s="32"/>
      <c r="D61" s="32"/>
      <c r="E61" s="32"/>
      <c r="F61" s="32"/>
      <c r="G61" s="32"/>
      <c r="H61" s="32"/>
      <c r="I61" s="34"/>
      <c r="J61" s="34"/>
      <c r="K61" s="32"/>
      <c r="L61" s="32"/>
      <c r="M61" s="47"/>
    </row>
    <row r="62" customFormat="false" ht="15" hidden="false" customHeight="false" outlineLevel="0" collapsed="false">
      <c r="A62" s="35" t="str">
        <f aca="false">IF(E62="","","BUG-"&amp;TEXT(ROW()-5,"000"))</f>
        <v/>
      </c>
      <c r="B62" s="46"/>
      <c r="C62" s="32"/>
      <c r="D62" s="32"/>
      <c r="E62" s="32"/>
      <c r="F62" s="32"/>
      <c r="G62" s="32"/>
      <c r="H62" s="32"/>
      <c r="I62" s="34"/>
      <c r="J62" s="34"/>
      <c r="K62" s="32"/>
      <c r="L62" s="32"/>
      <c r="M62" s="47"/>
    </row>
    <row r="63" customFormat="false" ht="15" hidden="false" customHeight="false" outlineLevel="0" collapsed="false">
      <c r="A63" s="35" t="str">
        <f aca="false">IF(E63="","","BUG-"&amp;TEXT(ROW()-5,"000"))</f>
        <v/>
      </c>
      <c r="B63" s="46"/>
      <c r="C63" s="32"/>
      <c r="D63" s="32"/>
      <c r="E63" s="32"/>
      <c r="F63" s="32"/>
      <c r="G63" s="32"/>
      <c r="H63" s="32"/>
      <c r="I63" s="34"/>
      <c r="J63" s="34"/>
      <c r="K63" s="32"/>
      <c r="L63" s="32"/>
      <c r="M63" s="47"/>
    </row>
    <row r="64" customFormat="false" ht="15" hidden="false" customHeight="false" outlineLevel="0" collapsed="false">
      <c r="A64" s="35" t="str">
        <f aca="false">IF(E64="","","BUG-"&amp;TEXT(ROW()-5,"000"))</f>
        <v/>
      </c>
      <c r="B64" s="46"/>
      <c r="C64" s="32"/>
      <c r="D64" s="32"/>
      <c r="E64" s="32"/>
      <c r="F64" s="32"/>
      <c r="G64" s="32"/>
      <c r="H64" s="32"/>
      <c r="I64" s="34"/>
      <c r="J64" s="34"/>
      <c r="K64" s="32"/>
      <c r="L64" s="32"/>
      <c r="M64" s="47"/>
    </row>
    <row r="65" customFormat="false" ht="15" hidden="false" customHeight="false" outlineLevel="0" collapsed="false">
      <c r="A65" s="35" t="str">
        <f aca="false">IF(E65="","","BUG-"&amp;TEXT(ROW()-5,"000"))</f>
        <v/>
      </c>
      <c r="B65" s="46"/>
      <c r="C65" s="32"/>
      <c r="D65" s="32"/>
      <c r="E65" s="32"/>
      <c r="F65" s="32"/>
      <c r="G65" s="32"/>
      <c r="H65" s="32"/>
      <c r="I65" s="34"/>
      <c r="J65" s="34"/>
      <c r="K65" s="32"/>
      <c r="L65" s="32"/>
      <c r="M65" s="47"/>
    </row>
    <row r="66" customFormat="false" ht="15" hidden="false" customHeight="false" outlineLevel="0" collapsed="false">
      <c r="A66" s="35" t="str">
        <f aca="false">IF(E66="","","BUG-"&amp;TEXT(ROW()-5,"000"))</f>
        <v/>
      </c>
      <c r="B66" s="46"/>
      <c r="C66" s="32"/>
      <c r="D66" s="32"/>
      <c r="E66" s="32"/>
      <c r="F66" s="32"/>
      <c r="G66" s="32"/>
      <c r="H66" s="32"/>
      <c r="I66" s="34"/>
      <c r="J66" s="34"/>
      <c r="K66" s="32"/>
      <c r="L66" s="32"/>
      <c r="M66" s="47"/>
    </row>
    <row r="67" customFormat="false" ht="15" hidden="false" customHeight="false" outlineLevel="0" collapsed="false">
      <c r="A67" s="35" t="str">
        <f aca="false">IF(E67="","","BUG-"&amp;TEXT(ROW()-5,"000"))</f>
        <v/>
      </c>
      <c r="B67" s="46"/>
      <c r="C67" s="32"/>
      <c r="D67" s="32"/>
      <c r="E67" s="32"/>
      <c r="F67" s="32"/>
      <c r="G67" s="32"/>
      <c r="H67" s="32"/>
      <c r="I67" s="34"/>
      <c r="J67" s="34"/>
      <c r="K67" s="32"/>
      <c r="L67" s="32"/>
      <c r="M67" s="47"/>
    </row>
    <row r="68" customFormat="false" ht="15" hidden="false" customHeight="false" outlineLevel="0" collapsed="false">
      <c r="A68" s="35" t="str">
        <f aca="false">IF(E68="","","BUG-"&amp;TEXT(ROW()-5,"000"))</f>
        <v/>
      </c>
      <c r="B68" s="46"/>
      <c r="C68" s="32"/>
      <c r="D68" s="32"/>
      <c r="E68" s="32"/>
      <c r="F68" s="32"/>
      <c r="G68" s="32"/>
      <c r="H68" s="32"/>
      <c r="I68" s="34"/>
      <c r="J68" s="34"/>
      <c r="K68" s="32"/>
      <c r="L68" s="32"/>
      <c r="M68" s="47"/>
    </row>
    <row r="69" customFormat="false" ht="15" hidden="false" customHeight="false" outlineLevel="0" collapsed="false">
      <c r="A69" s="35" t="str">
        <f aca="false">IF(E69="","","BUG-"&amp;TEXT(ROW()-5,"000"))</f>
        <v/>
      </c>
      <c r="B69" s="46"/>
      <c r="C69" s="32"/>
      <c r="D69" s="32"/>
      <c r="E69" s="32"/>
      <c r="F69" s="32"/>
      <c r="G69" s="32"/>
      <c r="H69" s="32"/>
      <c r="I69" s="34"/>
      <c r="J69" s="34"/>
      <c r="K69" s="32"/>
      <c r="L69" s="32"/>
      <c r="M69" s="47"/>
    </row>
    <row r="70" customFormat="false" ht="15" hidden="false" customHeight="false" outlineLevel="0" collapsed="false">
      <c r="A70" s="35" t="str">
        <f aca="false">IF(E70="","","BUG-"&amp;TEXT(ROW()-5,"000"))</f>
        <v/>
      </c>
      <c r="B70" s="46"/>
      <c r="C70" s="32"/>
      <c r="D70" s="32"/>
      <c r="E70" s="32"/>
      <c r="F70" s="32"/>
      <c r="G70" s="32"/>
      <c r="H70" s="32"/>
      <c r="I70" s="34"/>
      <c r="J70" s="34"/>
      <c r="K70" s="32"/>
      <c r="L70" s="32"/>
      <c r="M70" s="47"/>
    </row>
    <row r="71" customFormat="false" ht="15" hidden="false" customHeight="false" outlineLevel="0" collapsed="false">
      <c r="A71" s="35" t="str">
        <f aca="false">IF(E71="","","BUG-"&amp;TEXT(ROW()-5,"000"))</f>
        <v/>
      </c>
      <c r="B71" s="46"/>
      <c r="C71" s="32"/>
      <c r="D71" s="32"/>
      <c r="E71" s="32"/>
      <c r="F71" s="32"/>
      <c r="G71" s="32"/>
      <c r="H71" s="32"/>
      <c r="I71" s="34"/>
      <c r="J71" s="34"/>
      <c r="K71" s="32"/>
      <c r="L71" s="32"/>
      <c r="M71" s="47"/>
    </row>
    <row r="72" customFormat="false" ht="15" hidden="false" customHeight="false" outlineLevel="0" collapsed="false">
      <c r="A72" s="35" t="str">
        <f aca="false">IF(E72="","","BUG-"&amp;TEXT(ROW()-5,"000"))</f>
        <v/>
      </c>
      <c r="B72" s="46"/>
      <c r="C72" s="32"/>
      <c r="D72" s="32"/>
      <c r="E72" s="32"/>
      <c r="F72" s="32"/>
      <c r="G72" s="32"/>
      <c r="H72" s="32"/>
      <c r="I72" s="34"/>
      <c r="J72" s="34"/>
      <c r="K72" s="32"/>
      <c r="L72" s="32"/>
      <c r="M72" s="47"/>
    </row>
    <row r="73" customFormat="false" ht="15" hidden="false" customHeight="false" outlineLevel="0" collapsed="false">
      <c r="A73" s="35" t="str">
        <f aca="false">IF(E73="","","BUG-"&amp;TEXT(ROW()-5,"000"))</f>
        <v/>
      </c>
      <c r="B73" s="46"/>
      <c r="C73" s="32"/>
      <c r="D73" s="32"/>
      <c r="E73" s="32"/>
      <c r="F73" s="32"/>
      <c r="G73" s="32"/>
      <c r="H73" s="32"/>
      <c r="I73" s="34"/>
      <c r="J73" s="34"/>
      <c r="K73" s="32"/>
      <c r="L73" s="32"/>
      <c r="M73" s="47"/>
    </row>
    <row r="74" customFormat="false" ht="15" hidden="false" customHeight="false" outlineLevel="0" collapsed="false">
      <c r="A74" s="35" t="str">
        <f aca="false">IF(E74="","","BUG-"&amp;TEXT(ROW()-5,"000"))</f>
        <v/>
      </c>
      <c r="B74" s="46"/>
      <c r="C74" s="32"/>
      <c r="D74" s="32"/>
      <c r="E74" s="32"/>
      <c r="F74" s="32"/>
      <c r="G74" s="32"/>
      <c r="H74" s="32"/>
      <c r="I74" s="34"/>
      <c r="J74" s="34"/>
      <c r="K74" s="32"/>
      <c r="L74" s="32"/>
      <c r="M74" s="47"/>
    </row>
    <row r="75" customFormat="false" ht="15" hidden="false" customHeight="false" outlineLevel="0" collapsed="false">
      <c r="A75" s="35" t="str">
        <f aca="false">IF(E75="","","BUG-"&amp;TEXT(ROW()-5,"000"))</f>
        <v/>
      </c>
      <c r="B75" s="46"/>
      <c r="C75" s="32"/>
      <c r="D75" s="32"/>
      <c r="E75" s="32"/>
      <c r="F75" s="32"/>
      <c r="G75" s="32"/>
      <c r="H75" s="32"/>
      <c r="I75" s="34"/>
      <c r="J75" s="34"/>
      <c r="K75" s="32"/>
      <c r="L75" s="32"/>
      <c r="M75" s="47"/>
    </row>
    <row r="76" customFormat="false" ht="15" hidden="false" customHeight="false" outlineLevel="0" collapsed="false">
      <c r="A76" s="35" t="str">
        <f aca="false">IF(E76="","","BUG-"&amp;TEXT(ROW()-5,"000"))</f>
        <v/>
      </c>
      <c r="B76" s="46"/>
      <c r="C76" s="32"/>
      <c r="D76" s="32"/>
      <c r="E76" s="32"/>
      <c r="F76" s="32"/>
      <c r="G76" s="32"/>
      <c r="H76" s="32"/>
      <c r="I76" s="34"/>
      <c r="J76" s="34"/>
      <c r="K76" s="32"/>
      <c r="L76" s="32"/>
      <c r="M76" s="47"/>
    </row>
    <row r="77" customFormat="false" ht="15" hidden="false" customHeight="false" outlineLevel="0" collapsed="false">
      <c r="A77" s="35" t="str">
        <f aca="false">IF(E77="","","BUG-"&amp;TEXT(ROW()-5,"000"))</f>
        <v/>
      </c>
      <c r="B77" s="46"/>
      <c r="C77" s="32"/>
      <c r="D77" s="32"/>
      <c r="E77" s="32"/>
      <c r="F77" s="32"/>
      <c r="G77" s="32"/>
      <c r="H77" s="32"/>
      <c r="I77" s="34"/>
      <c r="J77" s="34"/>
      <c r="K77" s="32"/>
      <c r="L77" s="32"/>
      <c r="M77" s="47"/>
    </row>
    <row r="78" customFormat="false" ht="15" hidden="false" customHeight="false" outlineLevel="0" collapsed="false">
      <c r="A78" s="35" t="str">
        <f aca="false">IF(E78="","","BUG-"&amp;TEXT(ROW()-5,"000"))</f>
        <v/>
      </c>
      <c r="B78" s="46"/>
      <c r="C78" s="32"/>
      <c r="D78" s="32"/>
      <c r="E78" s="32"/>
      <c r="F78" s="32"/>
      <c r="G78" s="32"/>
      <c r="H78" s="32"/>
      <c r="I78" s="34"/>
      <c r="J78" s="34"/>
      <c r="K78" s="32"/>
      <c r="L78" s="32"/>
      <c r="M78" s="47"/>
    </row>
    <row r="79" customFormat="false" ht="15" hidden="false" customHeight="false" outlineLevel="0" collapsed="false">
      <c r="A79" s="35" t="str">
        <f aca="false">IF(E79="","","BUG-"&amp;TEXT(ROW()-5,"000"))</f>
        <v/>
      </c>
      <c r="B79" s="46"/>
      <c r="C79" s="32"/>
      <c r="D79" s="32"/>
      <c r="E79" s="32"/>
      <c r="F79" s="32"/>
      <c r="G79" s="32"/>
      <c r="H79" s="32"/>
      <c r="I79" s="34"/>
      <c r="J79" s="34"/>
      <c r="K79" s="32"/>
      <c r="L79" s="32"/>
      <c r="M79" s="47"/>
    </row>
    <row r="80" customFormat="false" ht="15" hidden="false" customHeight="false" outlineLevel="0" collapsed="false">
      <c r="A80" s="35" t="str">
        <f aca="false">IF(E80="","","BUG-"&amp;TEXT(ROW()-5,"000"))</f>
        <v/>
      </c>
      <c r="B80" s="46"/>
      <c r="C80" s="32"/>
      <c r="D80" s="32"/>
      <c r="E80" s="32"/>
      <c r="F80" s="32"/>
      <c r="G80" s="32"/>
      <c r="H80" s="32"/>
      <c r="I80" s="34"/>
      <c r="J80" s="34"/>
      <c r="K80" s="32"/>
      <c r="L80" s="32"/>
      <c r="M80" s="47"/>
    </row>
    <row r="81" customFormat="false" ht="15" hidden="false" customHeight="false" outlineLevel="0" collapsed="false">
      <c r="A81" s="35" t="str">
        <f aca="false">IF(E81="","","BUG-"&amp;TEXT(ROW()-5,"000"))</f>
        <v/>
      </c>
      <c r="B81" s="46"/>
      <c r="C81" s="32"/>
      <c r="D81" s="32"/>
      <c r="E81" s="32"/>
      <c r="F81" s="32"/>
      <c r="G81" s="32"/>
      <c r="H81" s="32"/>
      <c r="I81" s="34"/>
      <c r="J81" s="34"/>
      <c r="K81" s="32"/>
      <c r="L81" s="32"/>
      <c r="M81" s="47"/>
    </row>
    <row r="82" customFormat="false" ht="15" hidden="false" customHeight="false" outlineLevel="0" collapsed="false">
      <c r="A82" s="35" t="str">
        <f aca="false">IF(E82="","","BUG-"&amp;TEXT(ROW()-5,"000"))</f>
        <v/>
      </c>
      <c r="B82" s="46"/>
      <c r="C82" s="32"/>
      <c r="D82" s="32"/>
      <c r="E82" s="32"/>
      <c r="F82" s="32"/>
      <c r="G82" s="32"/>
      <c r="H82" s="32"/>
      <c r="I82" s="34"/>
      <c r="J82" s="34"/>
      <c r="K82" s="32"/>
      <c r="L82" s="32"/>
      <c r="M82" s="47"/>
    </row>
    <row r="83" customFormat="false" ht="15" hidden="false" customHeight="false" outlineLevel="0" collapsed="false">
      <c r="A83" s="35" t="str">
        <f aca="false">IF(E83="","","BUG-"&amp;TEXT(ROW()-5,"000"))</f>
        <v/>
      </c>
      <c r="B83" s="46"/>
      <c r="C83" s="32"/>
      <c r="D83" s="32"/>
      <c r="E83" s="32"/>
      <c r="F83" s="32"/>
      <c r="G83" s="32"/>
      <c r="H83" s="32"/>
      <c r="I83" s="34"/>
      <c r="J83" s="34"/>
      <c r="K83" s="32"/>
      <c r="L83" s="32"/>
      <c r="M83" s="47"/>
    </row>
    <row r="84" customFormat="false" ht="15" hidden="false" customHeight="false" outlineLevel="0" collapsed="false">
      <c r="A84" s="35" t="str">
        <f aca="false">IF(E84="","","BUG-"&amp;TEXT(ROW()-5,"000"))</f>
        <v/>
      </c>
      <c r="B84" s="46"/>
      <c r="C84" s="32"/>
      <c r="D84" s="32"/>
      <c r="E84" s="32"/>
      <c r="F84" s="32"/>
      <c r="G84" s="32"/>
      <c r="H84" s="32"/>
      <c r="I84" s="34"/>
      <c r="J84" s="34"/>
      <c r="K84" s="32"/>
      <c r="L84" s="32"/>
      <c r="M84" s="47"/>
    </row>
    <row r="85" customFormat="false" ht="15" hidden="false" customHeight="false" outlineLevel="0" collapsed="false">
      <c r="A85" s="35" t="str">
        <f aca="false">IF(E85="","","BUG-"&amp;TEXT(ROW()-5,"000"))</f>
        <v/>
      </c>
      <c r="B85" s="46"/>
      <c r="C85" s="32"/>
      <c r="D85" s="32"/>
      <c r="E85" s="32"/>
      <c r="F85" s="32"/>
      <c r="G85" s="32"/>
      <c r="H85" s="32"/>
      <c r="I85" s="34"/>
      <c r="J85" s="34"/>
      <c r="K85" s="32"/>
      <c r="L85" s="32"/>
      <c r="M85" s="47"/>
    </row>
    <row r="86" customFormat="false" ht="15" hidden="false" customHeight="false" outlineLevel="0" collapsed="false">
      <c r="A86" s="35" t="str">
        <f aca="false">IF(E86="","","BUG-"&amp;TEXT(ROW()-5,"000"))</f>
        <v/>
      </c>
      <c r="B86" s="46"/>
      <c r="C86" s="32"/>
      <c r="D86" s="32"/>
      <c r="E86" s="32"/>
      <c r="F86" s="32"/>
      <c r="G86" s="32"/>
      <c r="H86" s="32"/>
      <c r="I86" s="34"/>
      <c r="J86" s="34"/>
      <c r="K86" s="32"/>
      <c r="L86" s="32"/>
      <c r="M86" s="47"/>
    </row>
    <row r="87" customFormat="false" ht="15" hidden="false" customHeight="false" outlineLevel="0" collapsed="false">
      <c r="A87" s="35" t="str">
        <f aca="false">IF(E87="","","BUG-"&amp;TEXT(ROW()-5,"000"))</f>
        <v/>
      </c>
      <c r="B87" s="46"/>
      <c r="C87" s="32"/>
      <c r="D87" s="32"/>
      <c r="E87" s="32"/>
      <c r="F87" s="32"/>
      <c r="G87" s="32"/>
      <c r="H87" s="32"/>
      <c r="I87" s="34"/>
      <c r="J87" s="34"/>
      <c r="K87" s="32"/>
      <c r="L87" s="32"/>
      <c r="M87" s="47"/>
    </row>
    <row r="88" customFormat="false" ht="15" hidden="false" customHeight="false" outlineLevel="0" collapsed="false">
      <c r="A88" s="35" t="str">
        <f aca="false">IF(E88="","","BUG-"&amp;TEXT(ROW()-5,"000"))</f>
        <v/>
      </c>
      <c r="B88" s="46"/>
      <c r="C88" s="32"/>
      <c r="D88" s="32"/>
      <c r="E88" s="32"/>
      <c r="F88" s="32"/>
      <c r="G88" s="32"/>
      <c r="H88" s="32"/>
      <c r="I88" s="34"/>
      <c r="J88" s="34"/>
      <c r="K88" s="32"/>
      <c r="L88" s="32"/>
      <c r="M88" s="47"/>
    </row>
    <row r="89" customFormat="false" ht="15" hidden="false" customHeight="false" outlineLevel="0" collapsed="false">
      <c r="A89" s="35" t="str">
        <f aca="false">IF(E89="","","BUG-"&amp;TEXT(ROW()-5,"000"))</f>
        <v/>
      </c>
      <c r="B89" s="46"/>
      <c r="C89" s="32"/>
      <c r="D89" s="32"/>
      <c r="E89" s="32"/>
      <c r="F89" s="32"/>
      <c r="G89" s="32"/>
      <c r="H89" s="32"/>
      <c r="I89" s="34"/>
      <c r="J89" s="34"/>
      <c r="K89" s="32"/>
      <c r="L89" s="32"/>
      <c r="M89" s="47"/>
    </row>
    <row r="90" customFormat="false" ht="15" hidden="false" customHeight="false" outlineLevel="0" collapsed="false">
      <c r="A90" s="35" t="str">
        <f aca="false">IF(E90="","","BUG-"&amp;TEXT(ROW()-5,"000"))</f>
        <v/>
      </c>
      <c r="B90" s="46"/>
      <c r="C90" s="32"/>
      <c r="D90" s="32"/>
      <c r="E90" s="32"/>
      <c r="F90" s="32"/>
      <c r="G90" s="32"/>
      <c r="H90" s="32"/>
      <c r="I90" s="34"/>
      <c r="J90" s="34"/>
      <c r="K90" s="32"/>
      <c r="L90" s="32"/>
      <c r="M90" s="47"/>
    </row>
    <row r="91" customFormat="false" ht="15" hidden="false" customHeight="false" outlineLevel="0" collapsed="false">
      <c r="A91" s="35" t="str">
        <f aca="false">IF(E91="","","BUG-"&amp;TEXT(ROW()-5,"000"))</f>
        <v/>
      </c>
      <c r="B91" s="46"/>
      <c r="C91" s="32"/>
      <c r="D91" s="32"/>
      <c r="E91" s="32"/>
      <c r="F91" s="32"/>
      <c r="G91" s="32"/>
      <c r="H91" s="32"/>
      <c r="I91" s="34"/>
      <c r="J91" s="34"/>
      <c r="K91" s="32"/>
      <c r="L91" s="32"/>
      <c r="M91" s="47"/>
    </row>
    <row r="92" customFormat="false" ht="15" hidden="false" customHeight="false" outlineLevel="0" collapsed="false">
      <c r="A92" s="35" t="str">
        <f aca="false">IF(E92="","","BUG-"&amp;TEXT(ROW()-5,"000"))</f>
        <v/>
      </c>
      <c r="B92" s="46"/>
      <c r="C92" s="32"/>
      <c r="D92" s="32"/>
      <c r="E92" s="32"/>
      <c r="F92" s="32"/>
      <c r="G92" s="32"/>
      <c r="H92" s="32"/>
      <c r="I92" s="34"/>
      <c r="J92" s="34"/>
      <c r="K92" s="32"/>
      <c r="L92" s="32"/>
      <c r="M92" s="47"/>
    </row>
    <row r="93" customFormat="false" ht="15" hidden="false" customHeight="false" outlineLevel="0" collapsed="false">
      <c r="A93" s="35" t="str">
        <f aca="false">IF(E93="","","BUG-"&amp;TEXT(ROW()-5,"000"))</f>
        <v/>
      </c>
      <c r="B93" s="46"/>
      <c r="C93" s="32"/>
      <c r="D93" s="32"/>
      <c r="E93" s="32"/>
      <c r="F93" s="32"/>
      <c r="G93" s="32"/>
      <c r="H93" s="32"/>
      <c r="I93" s="34"/>
      <c r="J93" s="34"/>
      <c r="K93" s="32"/>
      <c r="L93" s="32"/>
      <c r="M93" s="47"/>
    </row>
    <row r="94" customFormat="false" ht="15" hidden="false" customHeight="false" outlineLevel="0" collapsed="false">
      <c r="A94" s="35" t="str">
        <f aca="false">IF(E94="","","BUG-"&amp;TEXT(ROW()-5,"000"))</f>
        <v/>
      </c>
      <c r="B94" s="46"/>
      <c r="C94" s="32"/>
      <c r="D94" s="32"/>
      <c r="E94" s="32"/>
      <c r="F94" s="32"/>
      <c r="G94" s="32"/>
      <c r="H94" s="32"/>
      <c r="I94" s="34"/>
      <c r="J94" s="34"/>
      <c r="K94" s="32"/>
      <c r="L94" s="32"/>
      <c r="M94" s="47"/>
    </row>
    <row r="95" customFormat="false" ht="15" hidden="false" customHeight="false" outlineLevel="0" collapsed="false">
      <c r="A95" s="35" t="str">
        <f aca="false">IF(E95="","","BUG-"&amp;TEXT(ROW()-5,"000"))</f>
        <v/>
      </c>
      <c r="B95" s="46"/>
      <c r="C95" s="32"/>
      <c r="D95" s="32"/>
      <c r="E95" s="32"/>
      <c r="F95" s="32"/>
      <c r="G95" s="32"/>
      <c r="H95" s="32"/>
      <c r="I95" s="34"/>
      <c r="J95" s="34"/>
      <c r="K95" s="32"/>
      <c r="L95" s="32"/>
      <c r="M95" s="47"/>
    </row>
    <row r="96" customFormat="false" ht="15" hidden="false" customHeight="false" outlineLevel="0" collapsed="false">
      <c r="A96" s="35" t="str">
        <f aca="false">IF(E96="","","BUG-"&amp;TEXT(ROW()-5,"000"))</f>
        <v/>
      </c>
      <c r="B96" s="46"/>
      <c r="C96" s="32"/>
      <c r="D96" s="32"/>
      <c r="E96" s="32"/>
      <c r="F96" s="32"/>
      <c r="G96" s="32"/>
      <c r="H96" s="32"/>
      <c r="I96" s="34"/>
      <c r="J96" s="34"/>
      <c r="K96" s="32"/>
      <c r="L96" s="32"/>
      <c r="M96" s="47"/>
    </row>
    <row r="97" customFormat="false" ht="15" hidden="false" customHeight="false" outlineLevel="0" collapsed="false">
      <c r="A97" s="35" t="str">
        <f aca="false">IF(E97="","","BUG-"&amp;TEXT(ROW()-5,"000"))</f>
        <v/>
      </c>
      <c r="B97" s="46"/>
      <c r="C97" s="32"/>
      <c r="D97" s="32"/>
      <c r="E97" s="32"/>
      <c r="F97" s="32"/>
      <c r="G97" s="32"/>
      <c r="H97" s="32"/>
      <c r="I97" s="34"/>
      <c r="J97" s="34"/>
      <c r="K97" s="32"/>
      <c r="L97" s="32"/>
      <c r="M97" s="47"/>
    </row>
    <row r="98" customFormat="false" ht="15" hidden="false" customHeight="false" outlineLevel="0" collapsed="false">
      <c r="A98" s="35" t="str">
        <f aca="false">IF(E98="","","BUG-"&amp;TEXT(ROW()-5,"000"))</f>
        <v/>
      </c>
      <c r="B98" s="46"/>
      <c r="C98" s="32"/>
      <c r="D98" s="32"/>
      <c r="E98" s="32"/>
      <c r="F98" s="32"/>
      <c r="G98" s="32"/>
      <c r="H98" s="32"/>
      <c r="I98" s="34"/>
      <c r="J98" s="34"/>
      <c r="K98" s="32"/>
      <c r="L98" s="32"/>
      <c r="M98" s="47"/>
    </row>
    <row r="99" customFormat="false" ht="15" hidden="false" customHeight="false" outlineLevel="0" collapsed="false">
      <c r="A99" s="35" t="str">
        <f aca="false">IF(E99="","","BUG-"&amp;TEXT(ROW()-5,"000"))</f>
        <v/>
      </c>
      <c r="B99" s="46"/>
      <c r="C99" s="32"/>
      <c r="D99" s="32"/>
      <c r="E99" s="32"/>
      <c r="F99" s="32"/>
      <c r="G99" s="32"/>
      <c r="H99" s="32"/>
      <c r="I99" s="34"/>
      <c r="J99" s="34"/>
      <c r="K99" s="32"/>
      <c r="L99" s="32"/>
      <c r="M99" s="47"/>
    </row>
    <row r="100" customFormat="false" ht="15" hidden="false" customHeight="false" outlineLevel="0" collapsed="false">
      <c r="A100" s="35" t="str">
        <f aca="false">IF(E100="","","BUG-"&amp;TEXT(ROW()-5,"000"))</f>
        <v/>
      </c>
      <c r="B100" s="46"/>
      <c r="C100" s="32"/>
      <c r="D100" s="32"/>
      <c r="E100" s="32"/>
      <c r="F100" s="32"/>
      <c r="G100" s="32"/>
      <c r="H100" s="32"/>
      <c r="I100" s="34"/>
      <c r="J100" s="34"/>
      <c r="K100" s="32"/>
      <c r="L100" s="32"/>
      <c r="M100" s="47"/>
    </row>
    <row r="101" customFormat="false" ht="15" hidden="false" customHeight="false" outlineLevel="0" collapsed="false">
      <c r="A101" s="35" t="str">
        <f aca="false">IF(E101="","","BUG-"&amp;TEXT(ROW()-5,"000"))</f>
        <v/>
      </c>
      <c r="B101" s="46"/>
      <c r="C101" s="32"/>
      <c r="D101" s="32"/>
      <c r="E101" s="32"/>
      <c r="F101" s="32"/>
      <c r="G101" s="32"/>
      <c r="H101" s="32"/>
      <c r="I101" s="34"/>
      <c r="J101" s="34"/>
      <c r="K101" s="32"/>
      <c r="L101" s="32"/>
      <c r="M101" s="47"/>
    </row>
    <row r="102" customFormat="false" ht="15" hidden="false" customHeight="false" outlineLevel="0" collapsed="false">
      <c r="A102" s="35" t="str">
        <f aca="false">IF(E102="","","BUG-"&amp;TEXT(ROW()-5,"000"))</f>
        <v/>
      </c>
      <c r="B102" s="46"/>
      <c r="C102" s="32"/>
      <c r="D102" s="32"/>
      <c r="E102" s="32"/>
      <c r="F102" s="32"/>
      <c r="G102" s="32"/>
      <c r="H102" s="32"/>
      <c r="I102" s="34"/>
      <c r="J102" s="34"/>
      <c r="K102" s="32"/>
      <c r="L102" s="32"/>
      <c r="M102" s="47"/>
    </row>
    <row r="103" customFormat="false" ht="15" hidden="false" customHeight="false" outlineLevel="0" collapsed="false">
      <c r="A103" s="35" t="str">
        <f aca="false">IF(E103="","","BUG-"&amp;TEXT(ROW()-5,"000"))</f>
        <v/>
      </c>
      <c r="B103" s="46"/>
      <c r="C103" s="32"/>
      <c r="D103" s="32"/>
      <c r="E103" s="32"/>
      <c r="F103" s="32"/>
      <c r="G103" s="32"/>
      <c r="H103" s="32"/>
      <c r="I103" s="34"/>
      <c r="J103" s="34"/>
      <c r="K103" s="32"/>
      <c r="L103" s="32"/>
      <c r="M103" s="47"/>
    </row>
    <row r="104" customFormat="false" ht="15" hidden="false" customHeight="false" outlineLevel="0" collapsed="false">
      <c r="A104" s="35" t="str">
        <f aca="false">IF(E104="","","BUG-"&amp;TEXT(ROW()-5,"000"))</f>
        <v/>
      </c>
      <c r="B104" s="46"/>
      <c r="C104" s="32"/>
      <c r="D104" s="32"/>
      <c r="E104" s="32"/>
      <c r="F104" s="32"/>
      <c r="G104" s="32"/>
      <c r="H104" s="32"/>
      <c r="I104" s="34"/>
      <c r="J104" s="34"/>
      <c r="K104" s="32"/>
      <c r="L104" s="32"/>
      <c r="M104" s="47"/>
    </row>
    <row r="105" customFormat="false" ht="15" hidden="false" customHeight="false" outlineLevel="0" collapsed="false">
      <c r="A105" s="35" t="str">
        <f aca="false">IF(E105="","","BUG-"&amp;TEXT(ROW()-5,"000"))</f>
        <v/>
      </c>
      <c r="B105" s="46"/>
      <c r="C105" s="32"/>
      <c r="D105" s="32"/>
      <c r="E105" s="32"/>
      <c r="F105" s="32"/>
      <c r="G105" s="32"/>
      <c r="H105" s="32"/>
      <c r="I105" s="34"/>
      <c r="J105" s="34"/>
      <c r="K105" s="32"/>
      <c r="L105" s="32"/>
      <c r="M105" s="47"/>
    </row>
    <row r="106" customFormat="false" ht="15" hidden="false" customHeight="false" outlineLevel="0" collapsed="false">
      <c r="A106" s="35" t="str">
        <f aca="false">IF(E106="","","BUG-"&amp;TEXT(ROW()-5,"000"))</f>
        <v/>
      </c>
      <c r="B106" s="46"/>
      <c r="C106" s="32"/>
      <c r="D106" s="32"/>
      <c r="E106" s="32"/>
      <c r="F106" s="32"/>
      <c r="G106" s="32"/>
      <c r="H106" s="32"/>
      <c r="I106" s="34"/>
      <c r="J106" s="34"/>
      <c r="K106" s="32"/>
      <c r="L106" s="32"/>
      <c r="M106" s="47"/>
    </row>
    <row r="107" customFormat="false" ht="15" hidden="false" customHeight="false" outlineLevel="0" collapsed="false">
      <c r="A107" s="35" t="str">
        <f aca="false">IF(E107="","","BUG-"&amp;TEXT(ROW()-5,"000"))</f>
        <v/>
      </c>
      <c r="B107" s="46"/>
      <c r="C107" s="32"/>
      <c r="D107" s="32"/>
      <c r="E107" s="32"/>
      <c r="F107" s="32"/>
      <c r="G107" s="32"/>
      <c r="H107" s="32"/>
      <c r="I107" s="34"/>
      <c r="J107" s="34"/>
      <c r="K107" s="32"/>
      <c r="L107" s="32"/>
      <c r="M107" s="47"/>
    </row>
    <row r="108" customFormat="false" ht="15" hidden="false" customHeight="false" outlineLevel="0" collapsed="false">
      <c r="A108" s="35" t="str">
        <f aca="false">IF(E108="","","BUG-"&amp;TEXT(ROW()-5,"000"))</f>
        <v/>
      </c>
      <c r="B108" s="46"/>
      <c r="C108" s="32"/>
      <c r="D108" s="32"/>
      <c r="E108" s="32"/>
      <c r="F108" s="32"/>
      <c r="G108" s="32"/>
      <c r="H108" s="32"/>
      <c r="I108" s="34"/>
      <c r="J108" s="34"/>
      <c r="K108" s="32"/>
      <c r="L108" s="32"/>
      <c r="M108" s="47"/>
    </row>
    <row r="109" customFormat="false" ht="15" hidden="false" customHeight="false" outlineLevel="0" collapsed="false">
      <c r="A109" s="35" t="str">
        <f aca="false">IF(E109="","","BUG-"&amp;TEXT(ROW()-5,"000"))</f>
        <v/>
      </c>
      <c r="B109" s="46"/>
      <c r="C109" s="32"/>
      <c r="D109" s="32"/>
      <c r="E109" s="32"/>
      <c r="F109" s="32"/>
      <c r="G109" s="32"/>
      <c r="H109" s="32"/>
      <c r="I109" s="34"/>
      <c r="J109" s="34"/>
      <c r="K109" s="32"/>
      <c r="L109" s="32"/>
      <c r="M109" s="47"/>
    </row>
    <row r="110" customFormat="false" ht="15" hidden="false" customHeight="false" outlineLevel="0" collapsed="false">
      <c r="A110" s="35" t="str">
        <f aca="false">IF(E110="","","BUG-"&amp;TEXT(ROW()-5,"000"))</f>
        <v/>
      </c>
      <c r="B110" s="46"/>
      <c r="C110" s="32"/>
      <c r="D110" s="32"/>
      <c r="E110" s="32"/>
      <c r="F110" s="32"/>
      <c r="G110" s="32"/>
      <c r="H110" s="32"/>
      <c r="I110" s="34"/>
      <c r="J110" s="34"/>
      <c r="K110" s="32"/>
      <c r="L110" s="32"/>
      <c r="M110" s="47"/>
    </row>
    <row r="111" customFormat="false" ht="15" hidden="false" customHeight="false" outlineLevel="0" collapsed="false">
      <c r="A111" s="35" t="str">
        <f aca="false">IF(E111="","","BUG-"&amp;TEXT(ROW()-5,"000"))</f>
        <v/>
      </c>
      <c r="B111" s="46"/>
      <c r="C111" s="32"/>
      <c r="D111" s="32"/>
      <c r="E111" s="32"/>
      <c r="F111" s="32"/>
      <c r="G111" s="32"/>
      <c r="H111" s="32"/>
      <c r="I111" s="34"/>
      <c r="J111" s="34"/>
      <c r="K111" s="32"/>
      <c r="L111" s="32"/>
      <c r="M111" s="47"/>
    </row>
    <row r="112" customFormat="false" ht="15" hidden="false" customHeight="false" outlineLevel="0" collapsed="false">
      <c r="A112" s="35" t="str">
        <f aca="false">IF(E112="","","BUG-"&amp;TEXT(ROW()-5,"000"))</f>
        <v/>
      </c>
      <c r="B112" s="46"/>
      <c r="C112" s="32"/>
      <c r="D112" s="32"/>
      <c r="E112" s="32"/>
      <c r="F112" s="32"/>
      <c r="G112" s="32"/>
      <c r="H112" s="32"/>
      <c r="I112" s="34"/>
      <c r="J112" s="34"/>
      <c r="K112" s="32"/>
      <c r="L112" s="32"/>
      <c r="M112" s="47"/>
    </row>
    <row r="113" customFormat="false" ht="15" hidden="false" customHeight="false" outlineLevel="0" collapsed="false">
      <c r="A113" s="35" t="str">
        <f aca="false">IF(E113="","","BUG-"&amp;TEXT(ROW()-5,"000"))</f>
        <v/>
      </c>
      <c r="B113" s="46"/>
      <c r="C113" s="32"/>
      <c r="D113" s="32"/>
      <c r="E113" s="32"/>
      <c r="F113" s="32"/>
      <c r="G113" s="32"/>
      <c r="H113" s="32"/>
      <c r="I113" s="34"/>
      <c r="J113" s="34"/>
      <c r="K113" s="32"/>
      <c r="L113" s="32"/>
      <c r="M113" s="47"/>
    </row>
    <row r="114" customFormat="false" ht="15" hidden="false" customHeight="false" outlineLevel="0" collapsed="false">
      <c r="A114" s="35" t="str">
        <f aca="false">IF(E114="","","BUG-"&amp;TEXT(ROW()-5,"000"))</f>
        <v/>
      </c>
      <c r="B114" s="46"/>
      <c r="C114" s="32"/>
      <c r="D114" s="32"/>
      <c r="E114" s="32"/>
      <c r="F114" s="32"/>
      <c r="G114" s="32"/>
      <c r="H114" s="32"/>
      <c r="I114" s="34"/>
      <c r="J114" s="34"/>
      <c r="K114" s="32"/>
      <c r="L114" s="32"/>
      <c r="M114" s="47"/>
    </row>
    <row r="115" customFormat="false" ht="15" hidden="false" customHeight="false" outlineLevel="0" collapsed="false">
      <c r="A115" s="35" t="str">
        <f aca="false">IF(E115="","","BUG-"&amp;TEXT(ROW()-5,"000"))</f>
        <v/>
      </c>
      <c r="B115" s="46"/>
      <c r="C115" s="32"/>
      <c r="D115" s="32"/>
      <c r="E115" s="32"/>
      <c r="F115" s="32"/>
      <c r="G115" s="32"/>
      <c r="H115" s="32"/>
      <c r="I115" s="34"/>
      <c r="J115" s="34"/>
      <c r="K115" s="32"/>
      <c r="L115" s="32"/>
      <c r="M115" s="47"/>
    </row>
    <row r="116" customFormat="false" ht="15" hidden="false" customHeight="false" outlineLevel="0" collapsed="false">
      <c r="A116" s="35" t="str">
        <f aca="false">IF(E116="","","BUG-"&amp;TEXT(ROW()-5,"000"))</f>
        <v/>
      </c>
      <c r="B116" s="46"/>
      <c r="C116" s="32"/>
      <c r="D116" s="32"/>
      <c r="E116" s="32"/>
      <c r="F116" s="32"/>
      <c r="G116" s="32"/>
      <c r="H116" s="32"/>
      <c r="I116" s="34"/>
      <c r="J116" s="34"/>
      <c r="K116" s="32"/>
      <c r="L116" s="32"/>
      <c r="M116" s="47"/>
    </row>
    <row r="117" customFormat="false" ht="15" hidden="false" customHeight="false" outlineLevel="0" collapsed="false">
      <c r="A117" s="35" t="str">
        <f aca="false">IF(E117="","","BUG-"&amp;TEXT(ROW()-5,"000"))</f>
        <v/>
      </c>
      <c r="B117" s="46"/>
      <c r="C117" s="32"/>
      <c r="D117" s="32"/>
      <c r="E117" s="32"/>
      <c r="F117" s="32"/>
      <c r="G117" s="32"/>
      <c r="H117" s="32"/>
      <c r="I117" s="34"/>
      <c r="J117" s="34"/>
      <c r="K117" s="32"/>
      <c r="L117" s="32"/>
      <c r="M117" s="47"/>
    </row>
    <row r="118" customFormat="false" ht="15" hidden="false" customHeight="false" outlineLevel="0" collapsed="false">
      <c r="A118" s="35" t="str">
        <f aca="false">IF(E118="","","BUG-"&amp;TEXT(ROW()-5,"000"))</f>
        <v/>
      </c>
      <c r="B118" s="46"/>
      <c r="C118" s="32"/>
      <c r="D118" s="32"/>
      <c r="E118" s="32"/>
      <c r="F118" s="32"/>
      <c r="G118" s="32"/>
      <c r="H118" s="32"/>
      <c r="I118" s="34"/>
      <c r="J118" s="34"/>
      <c r="K118" s="32"/>
      <c r="L118" s="32"/>
      <c r="M118" s="47"/>
    </row>
    <row r="119" customFormat="false" ht="15" hidden="false" customHeight="false" outlineLevel="0" collapsed="false">
      <c r="A119" s="35" t="str">
        <f aca="false">IF(E119="","","BUG-"&amp;TEXT(ROW()-5,"000"))</f>
        <v/>
      </c>
      <c r="B119" s="46"/>
      <c r="C119" s="32"/>
      <c r="D119" s="32"/>
      <c r="E119" s="32"/>
      <c r="F119" s="32"/>
      <c r="G119" s="32"/>
      <c r="H119" s="32"/>
      <c r="I119" s="34"/>
      <c r="J119" s="34"/>
      <c r="K119" s="32"/>
      <c r="L119" s="32"/>
      <c r="M119" s="47"/>
    </row>
    <row r="120" customFormat="false" ht="15" hidden="false" customHeight="false" outlineLevel="0" collapsed="false">
      <c r="A120" s="35" t="str">
        <f aca="false">IF(E120="","","BUG-"&amp;TEXT(ROW()-5,"000"))</f>
        <v/>
      </c>
      <c r="B120" s="46"/>
      <c r="C120" s="32"/>
      <c r="D120" s="32"/>
      <c r="E120" s="32"/>
      <c r="F120" s="32"/>
      <c r="G120" s="32"/>
      <c r="H120" s="32"/>
      <c r="I120" s="34"/>
      <c r="J120" s="34"/>
      <c r="K120" s="32"/>
      <c r="L120" s="32"/>
      <c r="M120" s="47"/>
    </row>
    <row r="121" customFormat="false" ht="15" hidden="false" customHeight="false" outlineLevel="0" collapsed="false">
      <c r="A121" s="35" t="str">
        <f aca="false">IF(E121="","","BUG-"&amp;TEXT(ROW()-5,"000"))</f>
        <v/>
      </c>
      <c r="B121" s="46"/>
      <c r="C121" s="32"/>
      <c r="D121" s="32"/>
      <c r="E121" s="32"/>
      <c r="F121" s="32"/>
      <c r="G121" s="32"/>
      <c r="H121" s="32"/>
      <c r="I121" s="34"/>
      <c r="J121" s="34"/>
      <c r="K121" s="32"/>
      <c r="L121" s="32"/>
      <c r="M121" s="47"/>
    </row>
    <row r="122" customFormat="false" ht="15" hidden="false" customHeight="false" outlineLevel="0" collapsed="false">
      <c r="A122" s="35" t="str">
        <f aca="false">IF(E122="","","BUG-"&amp;TEXT(ROW()-5,"000"))</f>
        <v/>
      </c>
      <c r="B122" s="46"/>
      <c r="C122" s="32"/>
      <c r="D122" s="32"/>
      <c r="E122" s="32"/>
      <c r="F122" s="32"/>
      <c r="G122" s="32"/>
      <c r="H122" s="32"/>
      <c r="I122" s="34"/>
      <c r="J122" s="34"/>
      <c r="K122" s="32"/>
      <c r="L122" s="32"/>
      <c r="M122" s="47"/>
    </row>
    <row r="123" customFormat="false" ht="15" hidden="false" customHeight="false" outlineLevel="0" collapsed="false">
      <c r="A123" s="35" t="str">
        <f aca="false">IF(E123="","","BUG-"&amp;TEXT(ROW()-5,"000"))</f>
        <v/>
      </c>
      <c r="B123" s="46"/>
      <c r="C123" s="32"/>
      <c r="D123" s="32"/>
      <c r="E123" s="32"/>
      <c r="F123" s="32"/>
      <c r="G123" s="32"/>
      <c r="H123" s="32"/>
      <c r="I123" s="34"/>
      <c r="J123" s="34"/>
      <c r="K123" s="32"/>
      <c r="L123" s="32"/>
      <c r="M123" s="47"/>
    </row>
    <row r="124" customFormat="false" ht="15" hidden="false" customHeight="false" outlineLevel="0" collapsed="false">
      <c r="A124" s="35" t="str">
        <f aca="false">IF(E124="","","BUG-"&amp;TEXT(ROW()-5,"000"))</f>
        <v/>
      </c>
      <c r="B124" s="46"/>
      <c r="C124" s="32"/>
      <c r="D124" s="32"/>
      <c r="E124" s="32"/>
      <c r="F124" s="32"/>
      <c r="G124" s="32"/>
      <c r="H124" s="32"/>
      <c r="I124" s="34"/>
      <c r="J124" s="34"/>
      <c r="K124" s="32"/>
      <c r="L124" s="32"/>
      <c r="M124" s="47"/>
    </row>
    <row r="125" customFormat="false" ht="15" hidden="false" customHeight="false" outlineLevel="0" collapsed="false">
      <c r="A125" s="35" t="str">
        <f aca="false">IF(E125="","","BUG-"&amp;TEXT(ROW()-5,"000"))</f>
        <v/>
      </c>
      <c r="B125" s="46"/>
      <c r="C125" s="32"/>
      <c r="D125" s="32"/>
      <c r="E125" s="32"/>
      <c r="F125" s="32"/>
      <c r="G125" s="32"/>
      <c r="H125" s="32"/>
      <c r="I125" s="34"/>
      <c r="J125" s="34"/>
      <c r="K125" s="32"/>
      <c r="L125" s="32"/>
      <c r="M125" s="47"/>
    </row>
    <row r="126" customFormat="false" ht="15" hidden="false" customHeight="false" outlineLevel="0" collapsed="false">
      <c r="A126" s="35" t="str">
        <f aca="false">IF(E126="","","BUG-"&amp;TEXT(ROW()-5,"000"))</f>
        <v/>
      </c>
      <c r="B126" s="46"/>
      <c r="C126" s="32"/>
      <c r="D126" s="32"/>
      <c r="E126" s="32"/>
      <c r="F126" s="32"/>
      <c r="G126" s="32"/>
      <c r="H126" s="32"/>
      <c r="I126" s="34"/>
      <c r="J126" s="34"/>
      <c r="K126" s="32"/>
      <c r="L126" s="32"/>
      <c r="M126" s="47"/>
    </row>
    <row r="127" customFormat="false" ht="15" hidden="false" customHeight="false" outlineLevel="0" collapsed="false">
      <c r="A127" s="35" t="str">
        <f aca="false">IF(E127="","","BUG-"&amp;TEXT(ROW()-5,"000"))</f>
        <v/>
      </c>
      <c r="B127" s="46"/>
      <c r="C127" s="32"/>
      <c r="D127" s="32"/>
      <c r="E127" s="32"/>
      <c r="F127" s="32"/>
      <c r="G127" s="32"/>
      <c r="H127" s="32"/>
      <c r="I127" s="34"/>
      <c r="J127" s="34"/>
      <c r="K127" s="32"/>
      <c r="L127" s="32"/>
      <c r="M127" s="47"/>
    </row>
    <row r="128" customFormat="false" ht="15" hidden="false" customHeight="false" outlineLevel="0" collapsed="false">
      <c r="A128" s="35" t="str">
        <f aca="false">IF(E128="","","BUG-"&amp;TEXT(ROW()-5,"000"))</f>
        <v/>
      </c>
      <c r="B128" s="46"/>
      <c r="C128" s="32"/>
      <c r="D128" s="32"/>
      <c r="E128" s="32"/>
      <c r="F128" s="32"/>
      <c r="G128" s="32"/>
      <c r="H128" s="32"/>
      <c r="I128" s="34"/>
      <c r="J128" s="34"/>
      <c r="K128" s="32"/>
      <c r="L128" s="32"/>
      <c r="M128" s="47"/>
    </row>
    <row r="129" customFormat="false" ht="15" hidden="false" customHeight="false" outlineLevel="0" collapsed="false">
      <c r="A129" s="35" t="str">
        <f aca="false">IF(E129="","","BUG-"&amp;TEXT(ROW()-5,"000"))</f>
        <v/>
      </c>
      <c r="B129" s="46"/>
      <c r="C129" s="32"/>
      <c r="D129" s="32"/>
      <c r="E129" s="32"/>
      <c r="F129" s="32"/>
      <c r="G129" s="32"/>
      <c r="H129" s="32"/>
      <c r="I129" s="34"/>
      <c r="J129" s="34"/>
      <c r="K129" s="32"/>
      <c r="L129" s="32"/>
      <c r="M129" s="47"/>
    </row>
    <row r="130" customFormat="false" ht="15" hidden="false" customHeight="false" outlineLevel="0" collapsed="false">
      <c r="A130" s="35" t="str">
        <f aca="false">IF(E130="","","BUG-"&amp;TEXT(ROW()-5,"000"))</f>
        <v/>
      </c>
      <c r="B130" s="46"/>
      <c r="C130" s="32"/>
      <c r="D130" s="32"/>
      <c r="E130" s="32"/>
      <c r="F130" s="32"/>
      <c r="G130" s="32"/>
      <c r="H130" s="32"/>
      <c r="I130" s="34"/>
      <c r="J130" s="34"/>
      <c r="K130" s="32"/>
      <c r="L130" s="32"/>
      <c r="M130" s="47"/>
    </row>
    <row r="131" customFormat="false" ht="15" hidden="false" customHeight="false" outlineLevel="0" collapsed="false">
      <c r="A131" s="35" t="str">
        <f aca="false">IF(E131="","","BUG-"&amp;TEXT(ROW()-5,"000"))</f>
        <v/>
      </c>
      <c r="B131" s="46"/>
      <c r="C131" s="32"/>
      <c r="D131" s="32"/>
      <c r="E131" s="32"/>
      <c r="F131" s="32"/>
      <c r="G131" s="32"/>
      <c r="H131" s="32"/>
      <c r="I131" s="34"/>
      <c r="J131" s="34"/>
      <c r="K131" s="32"/>
      <c r="L131" s="32"/>
      <c r="M131" s="47"/>
    </row>
    <row r="132" customFormat="false" ht="15" hidden="false" customHeight="false" outlineLevel="0" collapsed="false">
      <c r="A132" s="35" t="str">
        <f aca="false">IF(E132="","","BUG-"&amp;TEXT(ROW()-5,"000"))</f>
        <v/>
      </c>
      <c r="B132" s="46"/>
      <c r="C132" s="32"/>
      <c r="D132" s="32"/>
      <c r="E132" s="32"/>
      <c r="F132" s="32"/>
      <c r="G132" s="32"/>
      <c r="H132" s="32"/>
      <c r="I132" s="34"/>
      <c r="J132" s="34"/>
      <c r="K132" s="32"/>
      <c r="L132" s="32"/>
      <c r="M132" s="47"/>
    </row>
    <row r="133" customFormat="false" ht="15" hidden="false" customHeight="false" outlineLevel="0" collapsed="false">
      <c r="A133" s="35" t="str">
        <f aca="false">IF(E133="","","BUG-"&amp;TEXT(ROW()-5,"000"))</f>
        <v/>
      </c>
      <c r="B133" s="46"/>
      <c r="C133" s="32"/>
      <c r="D133" s="32"/>
      <c r="E133" s="32"/>
      <c r="F133" s="32"/>
      <c r="G133" s="32"/>
      <c r="H133" s="32"/>
      <c r="I133" s="34"/>
      <c r="J133" s="34"/>
      <c r="K133" s="32"/>
      <c r="L133" s="32"/>
      <c r="M133" s="47"/>
    </row>
    <row r="134" customFormat="false" ht="15" hidden="false" customHeight="false" outlineLevel="0" collapsed="false">
      <c r="A134" s="35" t="str">
        <f aca="false">IF(E134="","","BUG-"&amp;TEXT(ROW()-5,"000"))</f>
        <v/>
      </c>
      <c r="B134" s="46"/>
      <c r="C134" s="32"/>
      <c r="D134" s="32"/>
      <c r="E134" s="32"/>
      <c r="F134" s="32"/>
      <c r="G134" s="32"/>
      <c r="H134" s="32"/>
      <c r="I134" s="34"/>
      <c r="J134" s="34"/>
      <c r="K134" s="32"/>
      <c r="L134" s="32"/>
      <c r="M134" s="47"/>
    </row>
    <row r="135" customFormat="false" ht="15" hidden="false" customHeight="false" outlineLevel="0" collapsed="false">
      <c r="A135" s="35" t="str">
        <f aca="false">IF(E135="","","BUG-"&amp;TEXT(ROW()-5,"000"))</f>
        <v/>
      </c>
      <c r="B135" s="46"/>
      <c r="C135" s="32"/>
      <c r="D135" s="32"/>
      <c r="E135" s="32"/>
      <c r="F135" s="32"/>
      <c r="G135" s="32"/>
      <c r="H135" s="32"/>
      <c r="I135" s="34"/>
      <c r="J135" s="34"/>
      <c r="K135" s="32"/>
      <c r="L135" s="32"/>
      <c r="M135" s="47"/>
    </row>
    <row r="136" customFormat="false" ht="15" hidden="false" customHeight="false" outlineLevel="0" collapsed="false">
      <c r="A136" s="35" t="str">
        <f aca="false">IF(E136="","","BUG-"&amp;TEXT(ROW()-5,"000"))</f>
        <v/>
      </c>
      <c r="B136" s="46"/>
      <c r="C136" s="32"/>
      <c r="D136" s="32"/>
      <c r="E136" s="32"/>
      <c r="F136" s="32"/>
      <c r="G136" s="32"/>
      <c r="H136" s="32"/>
      <c r="I136" s="34"/>
      <c r="J136" s="34"/>
      <c r="K136" s="32"/>
      <c r="L136" s="32"/>
      <c r="M136" s="47"/>
    </row>
    <row r="137" customFormat="false" ht="15" hidden="false" customHeight="false" outlineLevel="0" collapsed="false">
      <c r="A137" s="35" t="str">
        <f aca="false">IF(E137="","","BUG-"&amp;TEXT(ROW()-5,"000"))</f>
        <v/>
      </c>
      <c r="B137" s="46"/>
      <c r="C137" s="32"/>
      <c r="D137" s="32"/>
      <c r="E137" s="32"/>
      <c r="F137" s="32"/>
      <c r="G137" s="32"/>
      <c r="H137" s="32"/>
      <c r="I137" s="34"/>
      <c r="J137" s="34"/>
      <c r="K137" s="32"/>
      <c r="L137" s="32"/>
      <c r="M137" s="47"/>
    </row>
    <row r="138" customFormat="false" ht="15" hidden="false" customHeight="false" outlineLevel="0" collapsed="false">
      <c r="A138" s="35" t="str">
        <f aca="false">IF(E138="","","BUG-"&amp;TEXT(ROW()-5,"000"))</f>
        <v/>
      </c>
      <c r="B138" s="46"/>
      <c r="C138" s="32"/>
      <c r="D138" s="32"/>
      <c r="E138" s="32"/>
      <c r="F138" s="32"/>
      <c r="G138" s="32"/>
      <c r="H138" s="32"/>
      <c r="I138" s="34"/>
      <c r="J138" s="34"/>
      <c r="K138" s="32"/>
      <c r="L138" s="32"/>
      <c r="M138" s="47"/>
    </row>
    <row r="139" customFormat="false" ht="15" hidden="false" customHeight="false" outlineLevel="0" collapsed="false">
      <c r="A139" s="35" t="str">
        <f aca="false">IF(E139="","","BUG-"&amp;TEXT(ROW()-5,"000"))</f>
        <v/>
      </c>
      <c r="B139" s="46"/>
      <c r="C139" s="32"/>
      <c r="D139" s="32"/>
      <c r="E139" s="32"/>
      <c r="F139" s="32"/>
      <c r="G139" s="32"/>
      <c r="H139" s="32"/>
      <c r="I139" s="34"/>
      <c r="J139" s="34"/>
      <c r="K139" s="32"/>
      <c r="L139" s="32"/>
      <c r="M139" s="47"/>
    </row>
    <row r="140" customFormat="false" ht="15" hidden="false" customHeight="false" outlineLevel="0" collapsed="false">
      <c r="A140" s="35" t="str">
        <f aca="false">IF(E140="","","BUG-"&amp;TEXT(ROW()-5,"000"))</f>
        <v/>
      </c>
      <c r="B140" s="46"/>
      <c r="C140" s="32"/>
      <c r="D140" s="32"/>
      <c r="E140" s="32"/>
      <c r="F140" s="32"/>
      <c r="G140" s="32"/>
      <c r="H140" s="32"/>
      <c r="I140" s="34"/>
      <c r="J140" s="34"/>
      <c r="K140" s="32"/>
      <c r="L140" s="32"/>
      <c r="M140" s="47"/>
    </row>
    <row r="141" customFormat="false" ht="15" hidden="false" customHeight="false" outlineLevel="0" collapsed="false">
      <c r="A141" s="35" t="str">
        <f aca="false">IF(E141="","","BUG-"&amp;TEXT(ROW()-5,"000"))</f>
        <v/>
      </c>
      <c r="B141" s="46"/>
      <c r="C141" s="32"/>
      <c r="D141" s="32"/>
      <c r="E141" s="32"/>
      <c r="F141" s="32"/>
      <c r="G141" s="32"/>
      <c r="H141" s="32"/>
      <c r="I141" s="34"/>
      <c r="J141" s="34"/>
      <c r="K141" s="32"/>
      <c r="L141" s="32"/>
      <c r="M141" s="47"/>
    </row>
    <row r="142" customFormat="false" ht="15" hidden="false" customHeight="false" outlineLevel="0" collapsed="false">
      <c r="A142" s="35" t="str">
        <f aca="false">IF(E142="","","BUG-"&amp;TEXT(ROW()-5,"000"))</f>
        <v/>
      </c>
      <c r="B142" s="46"/>
      <c r="C142" s="32"/>
      <c r="D142" s="32"/>
      <c r="E142" s="32"/>
      <c r="F142" s="32"/>
      <c r="G142" s="32"/>
      <c r="H142" s="32"/>
      <c r="I142" s="34"/>
      <c r="J142" s="34"/>
      <c r="K142" s="32"/>
      <c r="L142" s="32"/>
      <c r="M142" s="47"/>
    </row>
    <row r="143" customFormat="false" ht="15" hidden="false" customHeight="false" outlineLevel="0" collapsed="false">
      <c r="A143" s="35" t="str">
        <f aca="false">IF(E143="","","BUG-"&amp;TEXT(ROW()-5,"000"))</f>
        <v/>
      </c>
      <c r="B143" s="46"/>
      <c r="C143" s="32"/>
      <c r="D143" s="32"/>
      <c r="E143" s="32"/>
      <c r="F143" s="32"/>
      <c r="G143" s="32"/>
      <c r="H143" s="32"/>
      <c r="I143" s="34"/>
      <c r="J143" s="34"/>
      <c r="K143" s="32"/>
      <c r="L143" s="32"/>
      <c r="M143" s="47"/>
    </row>
    <row r="144" customFormat="false" ht="15" hidden="false" customHeight="false" outlineLevel="0" collapsed="false">
      <c r="A144" s="35" t="str">
        <f aca="false">IF(E144="","","BUG-"&amp;TEXT(ROW()-5,"000"))</f>
        <v/>
      </c>
      <c r="B144" s="46"/>
      <c r="C144" s="32"/>
      <c r="D144" s="32"/>
      <c r="E144" s="32"/>
      <c r="F144" s="32"/>
      <c r="G144" s="32"/>
      <c r="H144" s="32"/>
      <c r="I144" s="34"/>
      <c r="J144" s="34"/>
      <c r="K144" s="32"/>
      <c r="L144" s="32"/>
      <c r="M144" s="47"/>
    </row>
    <row r="145" customFormat="false" ht="15" hidden="false" customHeight="false" outlineLevel="0" collapsed="false">
      <c r="A145" s="35" t="str">
        <f aca="false">IF(E145="","","BUG-"&amp;TEXT(ROW()-5,"000"))</f>
        <v/>
      </c>
      <c r="B145" s="46"/>
      <c r="C145" s="32"/>
      <c r="D145" s="32"/>
      <c r="E145" s="32"/>
      <c r="F145" s="32"/>
      <c r="G145" s="32"/>
      <c r="H145" s="32"/>
      <c r="I145" s="34"/>
      <c r="J145" s="34"/>
      <c r="K145" s="32"/>
      <c r="L145" s="32"/>
      <c r="M145" s="47"/>
    </row>
    <row r="146" customFormat="false" ht="15" hidden="false" customHeight="false" outlineLevel="0" collapsed="false">
      <c r="A146" s="35" t="str">
        <f aca="false">IF(E146="","","BUG-"&amp;TEXT(ROW()-5,"000"))</f>
        <v/>
      </c>
      <c r="B146" s="46"/>
      <c r="C146" s="32"/>
      <c r="D146" s="32"/>
      <c r="E146" s="32"/>
      <c r="F146" s="32"/>
      <c r="G146" s="32"/>
      <c r="H146" s="32"/>
      <c r="I146" s="34"/>
      <c r="J146" s="34"/>
      <c r="K146" s="32"/>
      <c r="L146" s="32"/>
      <c r="M146" s="47"/>
    </row>
    <row r="147" customFormat="false" ht="15" hidden="false" customHeight="false" outlineLevel="0" collapsed="false">
      <c r="A147" s="35" t="str">
        <f aca="false">IF(E147="","","BUG-"&amp;TEXT(ROW()-5,"000"))</f>
        <v/>
      </c>
      <c r="B147" s="46"/>
      <c r="C147" s="32"/>
      <c r="D147" s="32"/>
      <c r="E147" s="32"/>
      <c r="F147" s="32"/>
      <c r="G147" s="32"/>
      <c r="H147" s="32"/>
      <c r="I147" s="34"/>
      <c r="J147" s="34"/>
      <c r="K147" s="32"/>
      <c r="L147" s="32"/>
      <c r="M147" s="47"/>
    </row>
    <row r="148" customFormat="false" ht="15" hidden="false" customHeight="false" outlineLevel="0" collapsed="false">
      <c r="A148" s="35" t="str">
        <f aca="false">IF(E148="","","BUG-"&amp;TEXT(ROW()-5,"000"))</f>
        <v/>
      </c>
      <c r="B148" s="46"/>
      <c r="C148" s="32"/>
      <c r="D148" s="32"/>
      <c r="E148" s="32"/>
      <c r="F148" s="32"/>
      <c r="G148" s="32"/>
      <c r="H148" s="32"/>
      <c r="I148" s="34"/>
      <c r="J148" s="34"/>
      <c r="K148" s="32"/>
      <c r="L148" s="32"/>
      <c r="M148" s="47"/>
    </row>
    <row r="149" customFormat="false" ht="15" hidden="false" customHeight="false" outlineLevel="0" collapsed="false">
      <c r="A149" s="35" t="str">
        <f aca="false">IF(E149="","","BUG-"&amp;TEXT(ROW()-5,"000"))</f>
        <v/>
      </c>
      <c r="B149" s="46"/>
      <c r="C149" s="32"/>
      <c r="D149" s="32"/>
      <c r="E149" s="32"/>
      <c r="F149" s="32"/>
      <c r="G149" s="32"/>
      <c r="H149" s="32"/>
      <c r="I149" s="34"/>
      <c r="J149" s="34"/>
      <c r="K149" s="32"/>
      <c r="L149" s="32"/>
      <c r="M149" s="47"/>
    </row>
    <row r="150" customFormat="false" ht="15" hidden="false" customHeight="false" outlineLevel="0" collapsed="false">
      <c r="A150" s="35" t="str">
        <f aca="false">IF(E150="","","BUG-"&amp;TEXT(ROW()-5,"000"))</f>
        <v/>
      </c>
      <c r="B150" s="46"/>
      <c r="C150" s="32"/>
      <c r="D150" s="32"/>
      <c r="E150" s="32"/>
      <c r="F150" s="32"/>
      <c r="G150" s="32"/>
      <c r="H150" s="32"/>
      <c r="I150" s="34"/>
      <c r="J150" s="34"/>
      <c r="K150" s="32"/>
      <c r="L150" s="32"/>
      <c r="M150" s="47"/>
    </row>
    <row r="151" customFormat="false" ht="15" hidden="false" customHeight="false" outlineLevel="0" collapsed="false">
      <c r="A151" s="35" t="str">
        <f aca="false">IF(E151="","","BUG-"&amp;TEXT(ROW()-5,"000"))</f>
        <v/>
      </c>
      <c r="B151" s="46"/>
      <c r="C151" s="32"/>
      <c r="D151" s="32"/>
      <c r="E151" s="32"/>
      <c r="F151" s="32"/>
      <c r="G151" s="32"/>
      <c r="H151" s="32"/>
      <c r="I151" s="34"/>
      <c r="J151" s="34"/>
      <c r="K151" s="32"/>
      <c r="L151" s="32"/>
      <c r="M151" s="47"/>
    </row>
    <row r="152" customFormat="false" ht="15" hidden="false" customHeight="false" outlineLevel="0" collapsed="false">
      <c r="A152" s="35" t="str">
        <f aca="false">IF(E152="","","BUG-"&amp;TEXT(ROW()-5,"000"))</f>
        <v/>
      </c>
      <c r="B152" s="46"/>
      <c r="C152" s="32"/>
      <c r="D152" s="32"/>
      <c r="E152" s="32"/>
      <c r="F152" s="32"/>
      <c r="G152" s="32"/>
      <c r="H152" s="32"/>
      <c r="I152" s="34"/>
      <c r="J152" s="34"/>
      <c r="K152" s="32"/>
      <c r="L152" s="32"/>
      <c r="M152" s="47"/>
    </row>
    <row r="153" customFormat="false" ht="15" hidden="false" customHeight="false" outlineLevel="0" collapsed="false">
      <c r="A153" s="35" t="str">
        <f aca="false">IF(E153="","","BUG-"&amp;TEXT(ROW()-5,"000"))</f>
        <v/>
      </c>
      <c r="B153" s="46"/>
      <c r="C153" s="32"/>
      <c r="D153" s="32"/>
      <c r="E153" s="32"/>
      <c r="F153" s="32"/>
      <c r="G153" s="32"/>
      <c r="H153" s="32"/>
      <c r="I153" s="34"/>
      <c r="J153" s="34"/>
      <c r="K153" s="32"/>
      <c r="L153" s="32"/>
      <c r="M153" s="47"/>
    </row>
    <row r="154" customFormat="false" ht="15" hidden="false" customHeight="false" outlineLevel="0" collapsed="false">
      <c r="A154" s="35" t="str">
        <f aca="false">IF(E154="","","BUG-"&amp;TEXT(ROW()-5,"000"))</f>
        <v/>
      </c>
      <c r="B154" s="46"/>
      <c r="C154" s="32"/>
      <c r="D154" s="32"/>
      <c r="E154" s="32"/>
      <c r="F154" s="32"/>
      <c r="G154" s="32"/>
      <c r="H154" s="32"/>
      <c r="I154" s="34"/>
      <c r="J154" s="34"/>
      <c r="K154" s="32"/>
      <c r="L154" s="32"/>
      <c r="M154" s="47"/>
    </row>
    <row r="155" customFormat="false" ht="15" hidden="false" customHeight="false" outlineLevel="0" collapsed="false">
      <c r="A155" s="35" t="str">
        <f aca="false">IF(E155="","","BUG-"&amp;TEXT(ROW()-5,"000"))</f>
        <v/>
      </c>
      <c r="B155" s="46"/>
      <c r="C155" s="32"/>
      <c r="D155" s="32"/>
      <c r="E155" s="32"/>
      <c r="F155" s="32"/>
      <c r="G155" s="32"/>
      <c r="H155" s="32"/>
      <c r="I155" s="34"/>
      <c r="J155" s="34"/>
      <c r="K155" s="32"/>
      <c r="L155" s="32"/>
      <c r="M155" s="47"/>
    </row>
    <row r="156" customFormat="false" ht="15" hidden="false" customHeight="false" outlineLevel="0" collapsed="false">
      <c r="A156" s="35" t="str">
        <f aca="false">IF(E156="","","BUG-"&amp;TEXT(ROW()-5,"000"))</f>
        <v/>
      </c>
      <c r="B156" s="46"/>
      <c r="C156" s="32"/>
      <c r="D156" s="32"/>
      <c r="E156" s="32"/>
      <c r="F156" s="32"/>
      <c r="G156" s="32"/>
      <c r="H156" s="32"/>
      <c r="I156" s="34"/>
      <c r="J156" s="34"/>
      <c r="K156" s="32"/>
      <c r="L156" s="32"/>
      <c r="M156" s="47"/>
    </row>
    <row r="157" customFormat="false" ht="15" hidden="false" customHeight="false" outlineLevel="0" collapsed="false">
      <c r="A157" s="35" t="str">
        <f aca="false">IF(E157="","","BUG-"&amp;TEXT(ROW()-5,"000"))</f>
        <v/>
      </c>
      <c r="B157" s="46"/>
      <c r="C157" s="32"/>
      <c r="D157" s="32"/>
      <c r="E157" s="32"/>
      <c r="F157" s="32"/>
      <c r="G157" s="32"/>
      <c r="H157" s="32"/>
      <c r="I157" s="34"/>
      <c r="J157" s="34"/>
      <c r="K157" s="32"/>
      <c r="L157" s="32"/>
      <c r="M157" s="47"/>
    </row>
    <row r="158" customFormat="false" ht="15" hidden="false" customHeight="false" outlineLevel="0" collapsed="false">
      <c r="A158" s="35" t="str">
        <f aca="false">IF(E158="","","BUG-"&amp;TEXT(ROW()-5,"000"))</f>
        <v/>
      </c>
      <c r="B158" s="46"/>
      <c r="C158" s="32"/>
      <c r="D158" s="32"/>
      <c r="E158" s="32"/>
      <c r="F158" s="32"/>
      <c r="G158" s="32"/>
      <c r="H158" s="32"/>
      <c r="I158" s="34"/>
      <c r="J158" s="34"/>
      <c r="K158" s="32"/>
      <c r="L158" s="32"/>
      <c r="M158" s="47"/>
    </row>
    <row r="159" customFormat="false" ht="15" hidden="false" customHeight="false" outlineLevel="0" collapsed="false">
      <c r="A159" s="35" t="str">
        <f aca="false">IF(E159="","","BUG-"&amp;TEXT(ROW()-5,"000"))</f>
        <v/>
      </c>
      <c r="B159" s="46"/>
      <c r="C159" s="32"/>
      <c r="D159" s="32"/>
      <c r="E159" s="32"/>
      <c r="F159" s="32"/>
      <c r="G159" s="32"/>
      <c r="H159" s="32"/>
      <c r="I159" s="34"/>
      <c r="J159" s="34"/>
      <c r="K159" s="32"/>
      <c r="L159" s="32"/>
      <c r="M159" s="47"/>
    </row>
    <row r="160" customFormat="false" ht="15" hidden="false" customHeight="false" outlineLevel="0" collapsed="false">
      <c r="A160" s="35" t="str">
        <f aca="false">IF(E160="","","BUG-"&amp;TEXT(ROW()-5,"000"))</f>
        <v/>
      </c>
      <c r="B160" s="46"/>
      <c r="C160" s="32"/>
      <c r="D160" s="32"/>
      <c r="E160" s="32"/>
      <c r="F160" s="32"/>
      <c r="G160" s="32"/>
      <c r="H160" s="32"/>
      <c r="I160" s="34"/>
      <c r="J160" s="34"/>
      <c r="K160" s="32"/>
      <c r="L160" s="32"/>
      <c r="M160" s="47"/>
    </row>
    <row r="161" customFormat="false" ht="15" hidden="false" customHeight="false" outlineLevel="0" collapsed="false">
      <c r="A161" s="35" t="str">
        <f aca="false">IF(E161="","","BUG-"&amp;TEXT(ROW()-5,"000"))</f>
        <v/>
      </c>
      <c r="B161" s="46"/>
      <c r="C161" s="32"/>
      <c r="D161" s="32"/>
      <c r="E161" s="32"/>
      <c r="F161" s="32"/>
      <c r="G161" s="32"/>
      <c r="H161" s="32"/>
      <c r="I161" s="34"/>
      <c r="J161" s="34"/>
      <c r="K161" s="32"/>
      <c r="L161" s="32"/>
      <c r="M161" s="47"/>
    </row>
    <row r="162" customFormat="false" ht="15" hidden="false" customHeight="false" outlineLevel="0" collapsed="false">
      <c r="A162" s="35" t="str">
        <f aca="false">IF(E162="","","BUG-"&amp;TEXT(ROW()-5,"000"))</f>
        <v/>
      </c>
      <c r="B162" s="46"/>
      <c r="C162" s="32"/>
      <c r="D162" s="32"/>
      <c r="E162" s="32"/>
      <c r="F162" s="32"/>
      <c r="G162" s="32"/>
      <c r="H162" s="32"/>
      <c r="I162" s="34"/>
      <c r="J162" s="34"/>
      <c r="K162" s="32"/>
      <c r="L162" s="32"/>
      <c r="M162" s="47"/>
    </row>
    <row r="163" customFormat="false" ht="15" hidden="false" customHeight="false" outlineLevel="0" collapsed="false">
      <c r="A163" s="35" t="str">
        <f aca="false">IF(E163="","","BUG-"&amp;TEXT(ROW()-5,"000"))</f>
        <v/>
      </c>
      <c r="B163" s="46"/>
      <c r="C163" s="32"/>
      <c r="D163" s="32"/>
      <c r="E163" s="32"/>
      <c r="F163" s="32"/>
      <c r="G163" s="32"/>
      <c r="H163" s="32"/>
      <c r="I163" s="34"/>
      <c r="J163" s="34"/>
      <c r="K163" s="32"/>
      <c r="L163" s="32"/>
      <c r="M163" s="47"/>
    </row>
    <row r="164" customFormat="false" ht="15" hidden="false" customHeight="false" outlineLevel="0" collapsed="false">
      <c r="A164" s="35" t="str">
        <f aca="false">IF(E164="","","BUG-"&amp;TEXT(ROW()-5,"000"))</f>
        <v/>
      </c>
      <c r="B164" s="46"/>
      <c r="C164" s="32"/>
      <c r="D164" s="32"/>
      <c r="E164" s="32"/>
      <c r="F164" s="32"/>
      <c r="G164" s="32"/>
      <c r="H164" s="32"/>
      <c r="I164" s="34"/>
      <c r="J164" s="34"/>
      <c r="K164" s="32"/>
      <c r="L164" s="32"/>
      <c r="M164" s="47"/>
    </row>
    <row r="165" customFormat="false" ht="15" hidden="false" customHeight="false" outlineLevel="0" collapsed="false">
      <c r="A165" s="35" t="str">
        <f aca="false">IF(E165="","","BUG-"&amp;TEXT(ROW()-5,"000"))</f>
        <v/>
      </c>
      <c r="B165" s="46"/>
      <c r="C165" s="32"/>
      <c r="D165" s="32"/>
      <c r="E165" s="32"/>
      <c r="F165" s="32"/>
      <c r="G165" s="32"/>
      <c r="H165" s="32"/>
      <c r="I165" s="34"/>
      <c r="J165" s="34"/>
      <c r="K165" s="32"/>
      <c r="L165" s="32"/>
      <c r="M165" s="47"/>
    </row>
    <row r="166" customFormat="false" ht="15" hidden="false" customHeight="false" outlineLevel="0" collapsed="false">
      <c r="A166" s="35" t="str">
        <f aca="false">IF(E166="","","BUG-"&amp;TEXT(ROW()-5,"000"))</f>
        <v/>
      </c>
      <c r="B166" s="46"/>
      <c r="C166" s="32"/>
      <c r="D166" s="32"/>
      <c r="E166" s="32"/>
      <c r="F166" s="32"/>
      <c r="G166" s="32"/>
      <c r="H166" s="32"/>
      <c r="I166" s="34"/>
      <c r="J166" s="34"/>
      <c r="K166" s="32"/>
      <c r="L166" s="32"/>
      <c r="M166" s="47"/>
    </row>
    <row r="167" customFormat="false" ht="15" hidden="false" customHeight="false" outlineLevel="0" collapsed="false">
      <c r="A167" s="35" t="str">
        <f aca="false">IF(E167="","","BUG-"&amp;TEXT(ROW()-5,"000"))</f>
        <v/>
      </c>
      <c r="B167" s="46"/>
      <c r="C167" s="32"/>
      <c r="D167" s="32"/>
      <c r="E167" s="32"/>
      <c r="F167" s="32"/>
      <c r="G167" s="32"/>
      <c r="H167" s="32"/>
      <c r="I167" s="34"/>
      <c r="J167" s="34"/>
      <c r="K167" s="32"/>
      <c r="L167" s="32"/>
      <c r="M167" s="47"/>
    </row>
    <row r="168" customFormat="false" ht="15" hidden="false" customHeight="false" outlineLevel="0" collapsed="false">
      <c r="A168" s="35" t="str">
        <f aca="false">IF(E168="","","BUG-"&amp;TEXT(ROW()-5,"000"))</f>
        <v/>
      </c>
      <c r="B168" s="46"/>
      <c r="C168" s="32"/>
      <c r="D168" s="32"/>
      <c r="E168" s="32"/>
      <c r="F168" s="32"/>
      <c r="G168" s="32"/>
      <c r="H168" s="32"/>
      <c r="I168" s="34"/>
      <c r="J168" s="34"/>
      <c r="K168" s="32"/>
      <c r="L168" s="32"/>
      <c r="M168" s="47"/>
    </row>
    <row r="169" customFormat="false" ht="15" hidden="false" customHeight="false" outlineLevel="0" collapsed="false">
      <c r="A169" s="35" t="str">
        <f aca="false">IF(E169="","","BUG-"&amp;TEXT(ROW()-5,"000"))</f>
        <v/>
      </c>
      <c r="B169" s="46"/>
      <c r="C169" s="32"/>
      <c r="D169" s="32"/>
      <c r="E169" s="32"/>
      <c r="F169" s="32"/>
      <c r="G169" s="32"/>
      <c r="H169" s="32"/>
      <c r="I169" s="34"/>
      <c r="J169" s="34"/>
      <c r="K169" s="32"/>
      <c r="L169" s="32"/>
      <c r="M169" s="47"/>
    </row>
    <row r="170" customFormat="false" ht="15" hidden="false" customHeight="false" outlineLevel="0" collapsed="false">
      <c r="A170" s="35" t="str">
        <f aca="false">IF(E170="","","BUG-"&amp;TEXT(ROW()-5,"000"))</f>
        <v/>
      </c>
      <c r="B170" s="46"/>
      <c r="C170" s="32"/>
      <c r="D170" s="32"/>
      <c r="E170" s="32"/>
      <c r="F170" s="32"/>
      <c r="G170" s="32"/>
      <c r="H170" s="32"/>
      <c r="I170" s="34"/>
      <c r="J170" s="34"/>
      <c r="K170" s="32"/>
      <c r="L170" s="32"/>
      <c r="M170" s="47"/>
    </row>
    <row r="171" customFormat="false" ht="15" hidden="false" customHeight="false" outlineLevel="0" collapsed="false">
      <c r="A171" s="35" t="str">
        <f aca="false">IF(E171="","","BUG-"&amp;TEXT(ROW()-5,"000"))</f>
        <v/>
      </c>
      <c r="B171" s="46"/>
      <c r="C171" s="32"/>
      <c r="D171" s="32"/>
      <c r="E171" s="32"/>
      <c r="F171" s="32"/>
      <c r="G171" s="32"/>
      <c r="H171" s="32"/>
      <c r="I171" s="34"/>
      <c r="J171" s="34"/>
      <c r="K171" s="32"/>
      <c r="L171" s="32"/>
      <c r="M171" s="47"/>
    </row>
    <row r="172" customFormat="false" ht="15" hidden="false" customHeight="false" outlineLevel="0" collapsed="false">
      <c r="A172" s="35" t="str">
        <f aca="false">IF(E172="","","BUG-"&amp;TEXT(ROW()-5,"000"))</f>
        <v/>
      </c>
      <c r="B172" s="46"/>
      <c r="C172" s="32"/>
      <c r="D172" s="32"/>
      <c r="E172" s="32"/>
      <c r="F172" s="32"/>
      <c r="G172" s="32"/>
      <c r="H172" s="32"/>
      <c r="I172" s="34"/>
      <c r="J172" s="34"/>
      <c r="K172" s="32"/>
      <c r="L172" s="32"/>
      <c r="M172" s="47"/>
    </row>
    <row r="173" customFormat="false" ht="15" hidden="false" customHeight="false" outlineLevel="0" collapsed="false">
      <c r="A173" s="35" t="str">
        <f aca="false">IF(E173="","","BUG-"&amp;TEXT(ROW()-5,"000"))</f>
        <v/>
      </c>
      <c r="B173" s="46"/>
      <c r="C173" s="32"/>
      <c r="D173" s="32"/>
      <c r="E173" s="32"/>
      <c r="F173" s="32"/>
      <c r="G173" s="32"/>
      <c r="H173" s="32"/>
      <c r="I173" s="34"/>
      <c r="J173" s="34"/>
      <c r="K173" s="32"/>
      <c r="L173" s="32"/>
      <c r="M173" s="47"/>
    </row>
    <row r="174" customFormat="false" ht="15" hidden="false" customHeight="false" outlineLevel="0" collapsed="false">
      <c r="A174" s="35" t="str">
        <f aca="false">IF(E174="","","BUG-"&amp;TEXT(ROW()-5,"000"))</f>
        <v/>
      </c>
      <c r="B174" s="46"/>
      <c r="C174" s="32"/>
      <c r="D174" s="32"/>
      <c r="E174" s="32"/>
      <c r="F174" s="32"/>
      <c r="G174" s="32"/>
      <c r="H174" s="32"/>
      <c r="I174" s="34"/>
      <c r="J174" s="34"/>
      <c r="K174" s="32"/>
      <c r="L174" s="32"/>
      <c r="M174" s="47"/>
    </row>
    <row r="175" customFormat="false" ht="15" hidden="false" customHeight="false" outlineLevel="0" collapsed="false">
      <c r="A175" s="35" t="str">
        <f aca="false">IF(E175="","","BUG-"&amp;TEXT(ROW()-5,"000"))</f>
        <v/>
      </c>
      <c r="B175" s="46"/>
      <c r="C175" s="32"/>
      <c r="D175" s="32"/>
      <c r="E175" s="32"/>
      <c r="F175" s="32"/>
      <c r="G175" s="32"/>
      <c r="H175" s="32"/>
      <c r="I175" s="34"/>
      <c r="J175" s="34"/>
      <c r="K175" s="32"/>
      <c r="L175" s="32"/>
      <c r="M175" s="47"/>
    </row>
    <row r="176" customFormat="false" ht="15" hidden="false" customHeight="false" outlineLevel="0" collapsed="false">
      <c r="A176" s="35" t="str">
        <f aca="false">IF(E176="","","BUG-"&amp;TEXT(ROW()-5,"000"))</f>
        <v/>
      </c>
      <c r="B176" s="46"/>
      <c r="C176" s="32"/>
      <c r="D176" s="32"/>
      <c r="E176" s="32"/>
      <c r="F176" s="32"/>
      <c r="G176" s="32"/>
      <c r="H176" s="32"/>
      <c r="I176" s="34"/>
      <c r="J176" s="34"/>
      <c r="K176" s="32"/>
      <c r="L176" s="32"/>
      <c r="M176" s="47"/>
    </row>
    <row r="177" customFormat="false" ht="15" hidden="false" customHeight="false" outlineLevel="0" collapsed="false">
      <c r="A177" s="35" t="str">
        <f aca="false">IF(E177="","","BUG-"&amp;TEXT(ROW()-5,"000"))</f>
        <v/>
      </c>
      <c r="B177" s="46"/>
      <c r="C177" s="32"/>
      <c r="D177" s="32"/>
      <c r="E177" s="32"/>
      <c r="F177" s="32"/>
      <c r="G177" s="32"/>
      <c r="H177" s="32"/>
      <c r="I177" s="34"/>
      <c r="J177" s="34"/>
      <c r="K177" s="32"/>
      <c r="L177" s="32"/>
      <c r="M177" s="47"/>
    </row>
    <row r="178" customFormat="false" ht="15" hidden="false" customHeight="false" outlineLevel="0" collapsed="false">
      <c r="A178" s="35" t="str">
        <f aca="false">IF(E178="","","BUG-"&amp;TEXT(ROW()-5,"000"))</f>
        <v/>
      </c>
      <c r="B178" s="46"/>
      <c r="C178" s="32"/>
      <c r="D178" s="32"/>
      <c r="E178" s="32"/>
      <c r="F178" s="32"/>
      <c r="G178" s="32"/>
      <c r="H178" s="32"/>
      <c r="I178" s="34"/>
      <c r="J178" s="34"/>
      <c r="K178" s="32"/>
      <c r="L178" s="32"/>
      <c r="M178" s="47"/>
    </row>
    <row r="179" customFormat="false" ht="15" hidden="false" customHeight="false" outlineLevel="0" collapsed="false">
      <c r="A179" s="35" t="str">
        <f aca="false">IF(E179="","","BUG-"&amp;TEXT(ROW()-5,"000"))</f>
        <v/>
      </c>
      <c r="B179" s="46"/>
      <c r="C179" s="32"/>
      <c r="D179" s="32"/>
      <c r="E179" s="32"/>
      <c r="F179" s="32"/>
      <c r="G179" s="32"/>
      <c r="H179" s="32"/>
      <c r="I179" s="34"/>
      <c r="J179" s="34"/>
      <c r="K179" s="32"/>
      <c r="L179" s="32"/>
      <c r="M179" s="47"/>
    </row>
    <row r="180" customFormat="false" ht="15" hidden="false" customHeight="false" outlineLevel="0" collapsed="false">
      <c r="A180" s="35" t="str">
        <f aca="false">IF(E180="","","BUG-"&amp;TEXT(ROW()-5,"000"))</f>
        <v/>
      </c>
      <c r="B180" s="46"/>
      <c r="C180" s="32"/>
      <c r="D180" s="32"/>
      <c r="E180" s="32"/>
      <c r="F180" s="32"/>
      <c r="G180" s="32"/>
      <c r="H180" s="32"/>
      <c r="I180" s="34"/>
      <c r="J180" s="34"/>
      <c r="K180" s="32"/>
      <c r="L180" s="32"/>
      <c r="M180" s="47"/>
    </row>
    <row r="181" customFormat="false" ht="15" hidden="false" customHeight="false" outlineLevel="0" collapsed="false">
      <c r="A181" s="35" t="str">
        <f aca="false">IF(E181="","","BUG-"&amp;TEXT(ROW()-5,"000"))</f>
        <v/>
      </c>
      <c r="B181" s="46"/>
      <c r="C181" s="32"/>
      <c r="D181" s="32"/>
      <c r="E181" s="32"/>
      <c r="F181" s="32"/>
      <c r="G181" s="32"/>
      <c r="H181" s="32"/>
      <c r="I181" s="34"/>
      <c r="J181" s="34"/>
      <c r="K181" s="32"/>
      <c r="L181" s="32"/>
      <c r="M181" s="47"/>
    </row>
    <row r="182" customFormat="false" ht="15" hidden="false" customHeight="false" outlineLevel="0" collapsed="false">
      <c r="A182" s="35" t="str">
        <f aca="false">IF(E182="","","BUG-"&amp;TEXT(ROW()-5,"000"))</f>
        <v/>
      </c>
      <c r="B182" s="46"/>
      <c r="C182" s="32"/>
      <c r="D182" s="32"/>
      <c r="E182" s="32"/>
      <c r="F182" s="32"/>
      <c r="G182" s="32"/>
      <c r="H182" s="32"/>
      <c r="I182" s="34"/>
      <c r="J182" s="34"/>
      <c r="K182" s="32"/>
      <c r="L182" s="32"/>
      <c r="M182" s="47"/>
    </row>
    <row r="183" customFormat="false" ht="15" hidden="false" customHeight="false" outlineLevel="0" collapsed="false">
      <c r="A183" s="35" t="str">
        <f aca="false">IF(E183="","","BUG-"&amp;TEXT(ROW()-5,"000"))</f>
        <v/>
      </c>
      <c r="B183" s="46"/>
      <c r="C183" s="32"/>
      <c r="D183" s="32"/>
      <c r="E183" s="32"/>
      <c r="F183" s="32"/>
      <c r="G183" s="32"/>
      <c r="H183" s="32"/>
      <c r="I183" s="34"/>
      <c r="J183" s="34"/>
      <c r="K183" s="32"/>
      <c r="L183" s="32"/>
      <c r="M183" s="47"/>
    </row>
    <row r="184" customFormat="false" ht="15" hidden="false" customHeight="false" outlineLevel="0" collapsed="false">
      <c r="A184" s="35" t="str">
        <f aca="false">IF(E184="","","BUG-"&amp;TEXT(ROW()-5,"000"))</f>
        <v/>
      </c>
      <c r="B184" s="46"/>
      <c r="C184" s="32"/>
      <c r="D184" s="32"/>
      <c r="E184" s="32"/>
      <c r="F184" s="32"/>
      <c r="G184" s="32"/>
      <c r="H184" s="32"/>
      <c r="I184" s="34"/>
      <c r="J184" s="34"/>
      <c r="K184" s="32"/>
      <c r="L184" s="32"/>
      <c r="M184" s="47"/>
    </row>
    <row r="185" customFormat="false" ht="15" hidden="false" customHeight="false" outlineLevel="0" collapsed="false">
      <c r="A185" s="35" t="str">
        <f aca="false">IF(E185="","","BUG-"&amp;TEXT(ROW()-5,"000"))</f>
        <v/>
      </c>
      <c r="B185" s="46"/>
      <c r="C185" s="32"/>
      <c r="D185" s="32"/>
      <c r="E185" s="32"/>
      <c r="F185" s="32"/>
      <c r="G185" s="32"/>
      <c r="H185" s="32"/>
      <c r="I185" s="34"/>
      <c r="J185" s="34"/>
      <c r="K185" s="32"/>
      <c r="L185" s="32"/>
      <c r="M185" s="47"/>
    </row>
    <row r="186" customFormat="false" ht="15" hidden="false" customHeight="false" outlineLevel="0" collapsed="false">
      <c r="A186" s="35" t="str">
        <f aca="false">IF(E186="","","BUG-"&amp;TEXT(ROW()-5,"000"))</f>
        <v/>
      </c>
      <c r="B186" s="46"/>
      <c r="C186" s="32"/>
      <c r="D186" s="32"/>
      <c r="E186" s="32"/>
      <c r="F186" s="32"/>
      <c r="G186" s="32"/>
      <c r="H186" s="32"/>
      <c r="I186" s="34"/>
      <c r="J186" s="34"/>
      <c r="K186" s="32"/>
      <c r="L186" s="32"/>
      <c r="M186" s="47"/>
    </row>
    <row r="187" customFormat="false" ht="15" hidden="false" customHeight="false" outlineLevel="0" collapsed="false">
      <c r="A187" s="35" t="str">
        <f aca="false">IF(E187="","","BUG-"&amp;TEXT(ROW()-5,"000"))</f>
        <v/>
      </c>
      <c r="B187" s="46"/>
      <c r="C187" s="32"/>
      <c r="D187" s="32"/>
      <c r="E187" s="32"/>
      <c r="F187" s="32"/>
      <c r="G187" s="32"/>
      <c r="H187" s="32"/>
      <c r="I187" s="34"/>
      <c r="J187" s="34"/>
      <c r="K187" s="32"/>
      <c r="L187" s="32"/>
      <c r="M187" s="47"/>
    </row>
    <row r="188" customFormat="false" ht="15" hidden="false" customHeight="false" outlineLevel="0" collapsed="false">
      <c r="A188" s="35" t="str">
        <f aca="false">IF(E188="","","BUG-"&amp;TEXT(ROW()-5,"000"))</f>
        <v/>
      </c>
      <c r="B188" s="46"/>
      <c r="C188" s="32"/>
      <c r="D188" s="32"/>
      <c r="E188" s="32"/>
      <c r="F188" s="32"/>
      <c r="G188" s="32"/>
      <c r="H188" s="32"/>
      <c r="I188" s="34"/>
      <c r="J188" s="34"/>
      <c r="K188" s="32"/>
      <c r="L188" s="32"/>
      <c r="M188" s="47"/>
    </row>
    <row r="189" customFormat="false" ht="15" hidden="false" customHeight="false" outlineLevel="0" collapsed="false">
      <c r="A189" s="35" t="str">
        <f aca="false">IF(E189="","","BUG-"&amp;TEXT(ROW()-5,"000"))</f>
        <v/>
      </c>
      <c r="B189" s="46"/>
      <c r="C189" s="32"/>
      <c r="D189" s="32"/>
      <c r="E189" s="32"/>
      <c r="F189" s="32"/>
      <c r="G189" s="32"/>
      <c r="H189" s="32"/>
      <c r="I189" s="34"/>
      <c r="J189" s="34"/>
      <c r="K189" s="32"/>
      <c r="L189" s="32"/>
      <c r="M189" s="47"/>
    </row>
    <row r="190" customFormat="false" ht="15" hidden="false" customHeight="false" outlineLevel="0" collapsed="false">
      <c r="A190" s="35" t="str">
        <f aca="false">IF(E190="","","BUG-"&amp;TEXT(ROW()-5,"000"))</f>
        <v/>
      </c>
      <c r="B190" s="46"/>
      <c r="C190" s="32"/>
      <c r="D190" s="32"/>
      <c r="E190" s="32"/>
      <c r="F190" s="32"/>
      <c r="G190" s="32"/>
      <c r="H190" s="32"/>
      <c r="I190" s="34"/>
      <c r="J190" s="34"/>
      <c r="K190" s="32"/>
      <c r="L190" s="32"/>
      <c r="M190" s="47"/>
    </row>
    <row r="191" customFormat="false" ht="15" hidden="false" customHeight="false" outlineLevel="0" collapsed="false">
      <c r="A191" s="35" t="str">
        <f aca="false">IF(E191="","","BUG-"&amp;TEXT(ROW()-5,"000"))</f>
        <v/>
      </c>
      <c r="B191" s="46"/>
      <c r="C191" s="32"/>
      <c r="D191" s="32"/>
      <c r="E191" s="32"/>
      <c r="F191" s="32"/>
      <c r="G191" s="32"/>
      <c r="H191" s="32"/>
      <c r="I191" s="34"/>
      <c r="J191" s="34"/>
      <c r="K191" s="32"/>
      <c r="L191" s="32"/>
      <c r="M191" s="47"/>
    </row>
    <row r="192" customFormat="false" ht="15" hidden="false" customHeight="false" outlineLevel="0" collapsed="false">
      <c r="A192" s="35" t="str">
        <f aca="false">IF(E192="","","BUG-"&amp;TEXT(ROW()-5,"000"))</f>
        <v/>
      </c>
      <c r="B192" s="46"/>
      <c r="C192" s="32"/>
      <c r="D192" s="32"/>
      <c r="E192" s="32"/>
      <c r="F192" s="32"/>
      <c r="G192" s="32"/>
      <c r="H192" s="32"/>
      <c r="I192" s="34"/>
      <c r="J192" s="34"/>
      <c r="K192" s="32"/>
      <c r="L192" s="32"/>
      <c r="M192" s="47"/>
    </row>
    <row r="193" customFormat="false" ht="15" hidden="false" customHeight="false" outlineLevel="0" collapsed="false">
      <c r="A193" s="35" t="str">
        <f aca="false">IF(E193="","","BUG-"&amp;TEXT(ROW()-5,"000"))</f>
        <v/>
      </c>
      <c r="B193" s="46"/>
      <c r="C193" s="32"/>
      <c r="D193" s="32"/>
      <c r="E193" s="32"/>
      <c r="F193" s="32"/>
      <c r="G193" s="32"/>
      <c r="H193" s="32"/>
      <c r="I193" s="34"/>
      <c r="J193" s="34"/>
      <c r="K193" s="32"/>
      <c r="L193" s="32"/>
      <c r="M193" s="47"/>
    </row>
    <row r="194" customFormat="false" ht="15" hidden="false" customHeight="false" outlineLevel="0" collapsed="false">
      <c r="A194" s="35" t="str">
        <f aca="false">IF(E194="","","BUG-"&amp;TEXT(ROW()-5,"000"))</f>
        <v/>
      </c>
      <c r="B194" s="46"/>
      <c r="C194" s="32"/>
      <c r="D194" s="32"/>
      <c r="E194" s="32"/>
      <c r="F194" s="32"/>
      <c r="G194" s="32"/>
      <c r="H194" s="32"/>
      <c r="I194" s="34"/>
      <c r="J194" s="34"/>
      <c r="K194" s="32"/>
      <c r="L194" s="32"/>
      <c r="M194" s="47"/>
    </row>
    <row r="195" customFormat="false" ht="15" hidden="false" customHeight="false" outlineLevel="0" collapsed="false">
      <c r="A195" s="35" t="str">
        <f aca="false">IF(E195="","","BUG-"&amp;TEXT(ROW()-5,"000"))</f>
        <v/>
      </c>
      <c r="B195" s="46"/>
      <c r="C195" s="32"/>
      <c r="D195" s="32"/>
      <c r="E195" s="32"/>
      <c r="F195" s="32"/>
      <c r="G195" s="32"/>
      <c r="H195" s="32"/>
      <c r="I195" s="34"/>
      <c r="J195" s="34"/>
      <c r="K195" s="32"/>
      <c r="L195" s="32"/>
      <c r="M195" s="47"/>
    </row>
    <row r="196" customFormat="false" ht="15" hidden="false" customHeight="false" outlineLevel="0" collapsed="false">
      <c r="A196" s="35" t="str">
        <f aca="false">IF(E196="","","BUG-"&amp;TEXT(ROW()-5,"000"))</f>
        <v/>
      </c>
      <c r="B196" s="46"/>
      <c r="C196" s="32"/>
      <c r="D196" s="32"/>
      <c r="E196" s="32"/>
      <c r="F196" s="32"/>
      <c r="G196" s="32"/>
      <c r="H196" s="32"/>
      <c r="I196" s="34"/>
      <c r="J196" s="34"/>
      <c r="K196" s="32"/>
      <c r="L196" s="32"/>
      <c r="M196" s="47"/>
    </row>
    <row r="197" customFormat="false" ht="15" hidden="false" customHeight="false" outlineLevel="0" collapsed="false">
      <c r="A197" s="35" t="str">
        <f aca="false">IF(E197="","","BUG-"&amp;TEXT(ROW()-5,"000"))</f>
        <v/>
      </c>
      <c r="B197" s="46"/>
      <c r="C197" s="32"/>
      <c r="D197" s="32"/>
      <c r="E197" s="32"/>
      <c r="F197" s="32"/>
      <c r="G197" s="32"/>
      <c r="H197" s="32"/>
      <c r="I197" s="34"/>
      <c r="J197" s="34"/>
      <c r="K197" s="32"/>
      <c r="L197" s="32"/>
      <c r="M197" s="47"/>
    </row>
    <row r="198" customFormat="false" ht="15" hidden="false" customHeight="false" outlineLevel="0" collapsed="false">
      <c r="A198" s="35" t="str">
        <f aca="false">IF(E198="","","BUG-"&amp;TEXT(ROW()-5,"000"))</f>
        <v/>
      </c>
      <c r="B198" s="46"/>
      <c r="C198" s="32"/>
      <c r="D198" s="32"/>
      <c r="E198" s="32"/>
      <c r="F198" s="32"/>
      <c r="G198" s="32"/>
      <c r="H198" s="32"/>
      <c r="I198" s="34"/>
      <c r="J198" s="34"/>
      <c r="K198" s="32"/>
      <c r="L198" s="32"/>
      <c r="M198" s="47"/>
    </row>
    <row r="199" customFormat="false" ht="15" hidden="false" customHeight="false" outlineLevel="0" collapsed="false">
      <c r="A199" s="35" t="str">
        <f aca="false">IF(E199="","","BUG-"&amp;TEXT(ROW()-5,"000"))</f>
        <v/>
      </c>
      <c r="B199" s="46"/>
      <c r="C199" s="32"/>
      <c r="D199" s="32"/>
      <c r="E199" s="32"/>
      <c r="F199" s="32"/>
      <c r="G199" s="32"/>
      <c r="H199" s="32"/>
      <c r="I199" s="34"/>
      <c r="J199" s="34"/>
      <c r="K199" s="32"/>
      <c r="L199" s="32"/>
      <c r="M199" s="47"/>
    </row>
    <row r="200" customFormat="false" ht="15" hidden="false" customHeight="false" outlineLevel="0" collapsed="false">
      <c r="A200" s="35" t="str">
        <f aca="false">IF(E200="","","BUG-"&amp;TEXT(ROW()-5,"000"))</f>
        <v/>
      </c>
      <c r="B200" s="46"/>
      <c r="C200" s="32"/>
      <c r="D200" s="32"/>
      <c r="E200" s="32"/>
      <c r="F200" s="32"/>
      <c r="G200" s="32"/>
      <c r="H200" s="32"/>
      <c r="I200" s="34"/>
      <c r="J200" s="34"/>
      <c r="K200" s="32"/>
      <c r="L200" s="32"/>
      <c r="M200" s="47"/>
    </row>
    <row r="201" customFormat="false" ht="15" hidden="false" customHeight="false" outlineLevel="0" collapsed="false">
      <c r="A201" s="35" t="str">
        <f aca="false">IF(E201="","","BUG-"&amp;TEXT(ROW()-5,"000"))</f>
        <v/>
      </c>
      <c r="B201" s="46"/>
      <c r="C201" s="32"/>
      <c r="D201" s="32"/>
      <c r="E201" s="32"/>
      <c r="F201" s="32"/>
      <c r="G201" s="32"/>
      <c r="H201" s="32"/>
      <c r="I201" s="34"/>
      <c r="J201" s="34"/>
      <c r="K201" s="32"/>
      <c r="L201" s="32"/>
      <c r="M201" s="47"/>
    </row>
    <row r="202" customFormat="false" ht="15" hidden="false" customHeight="false" outlineLevel="0" collapsed="false">
      <c r="A202" s="35" t="str">
        <f aca="false">IF(E202="","","BUG-"&amp;TEXT(ROW()-5,"000"))</f>
        <v/>
      </c>
      <c r="B202" s="46"/>
      <c r="C202" s="32"/>
      <c r="D202" s="32"/>
      <c r="E202" s="32"/>
      <c r="F202" s="32"/>
      <c r="G202" s="32"/>
      <c r="H202" s="32"/>
      <c r="I202" s="34"/>
      <c r="J202" s="34"/>
      <c r="K202" s="32"/>
      <c r="L202" s="32"/>
      <c r="M202" s="47"/>
    </row>
    <row r="203" customFormat="false" ht="15" hidden="false" customHeight="false" outlineLevel="0" collapsed="false">
      <c r="A203" s="35" t="str">
        <f aca="false">IF(E203="","","BUG-"&amp;TEXT(ROW()-5,"000"))</f>
        <v/>
      </c>
      <c r="B203" s="46"/>
      <c r="C203" s="32"/>
      <c r="D203" s="32"/>
      <c r="E203" s="32"/>
      <c r="F203" s="32"/>
      <c r="G203" s="32"/>
      <c r="H203" s="32"/>
      <c r="I203" s="34"/>
      <c r="J203" s="34"/>
      <c r="K203" s="32"/>
      <c r="L203" s="32"/>
      <c r="M203" s="47"/>
    </row>
    <row r="204" customFormat="false" ht="15" hidden="false" customHeight="false" outlineLevel="0" collapsed="false">
      <c r="A204" s="35" t="str">
        <f aca="false">IF(E204="","","BUG-"&amp;TEXT(ROW()-5,"000"))</f>
        <v/>
      </c>
      <c r="B204" s="46"/>
      <c r="C204" s="32"/>
      <c r="D204" s="32"/>
      <c r="E204" s="32"/>
      <c r="F204" s="32"/>
      <c r="G204" s="32"/>
      <c r="H204" s="32"/>
      <c r="I204" s="34"/>
      <c r="J204" s="34"/>
      <c r="K204" s="32"/>
      <c r="L204" s="32"/>
      <c r="M204" s="47"/>
    </row>
    <row r="205" customFormat="false" ht="15" hidden="false" customHeight="false" outlineLevel="0" collapsed="false">
      <c r="A205" s="35" t="str">
        <f aca="false">IF(E205="","","BUG-"&amp;TEXT(ROW()-5,"000"))</f>
        <v/>
      </c>
      <c r="B205" s="46"/>
      <c r="C205" s="32"/>
      <c r="D205" s="32"/>
      <c r="E205" s="32"/>
      <c r="F205" s="32"/>
      <c r="G205" s="32"/>
      <c r="H205" s="32"/>
      <c r="I205" s="34"/>
      <c r="J205" s="34"/>
      <c r="K205" s="32"/>
      <c r="L205" s="32"/>
      <c r="M205" s="47"/>
    </row>
    <row r="206" customFormat="false" ht="15" hidden="false" customHeight="false" outlineLevel="0" collapsed="false">
      <c r="A206" s="35" t="str">
        <f aca="false">IF(E206="","","BUG-"&amp;TEXT(ROW()-5,"000"))</f>
        <v/>
      </c>
      <c r="B206" s="46"/>
      <c r="C206" s="32"/>
      <c r="D206" s="32"/>
      <c r="E206" s="32"/>
      <c r="F206" s="32"/>
      <c r="G206" s="32"/>
      <c r="H206" s="32"/>
      <c r="I206" s="34"/>
      <c r="J206" s="34"/>
      <c r="K206" s="32"/>
      <c r="L206" s="32"/>
      <c r="M206" s="47"/>
    </row>
    <row r="207" customFormat="false" ht="15" hidden="false" customHeight="false" outlineLevel="0" collapsed="false">
      <c r="A207" s="35" t="str">
        <f aca="false">IF(E207="","","BUG-"&amp;TEXT(ROW()-5,"000"))</f>
        <v/>
      </c>
      <c r="B207" s="46"/>
      <c r="C207" s="32"/>
      <c r="D207" s="32"/>
      <c r="E207" s="32"/>
      <c r="F207" s="32"/>
      <c r="G207" s="32"/>
      <c r="H207" s="32"/>
      <c r="I207" s="34"/>
      <c r="J207" s="34"/>
      <c r="K207" s="32"/>
      <c r="L207" s="32"/>
      <c r="M207" s="47"/>
    </row>
    <row r="208" customFormat="false" ht="15" hidden="false" customHeight="false" outlineLevel="0" collapsed="false">
      <c r="A208" s="35" t="str">
        <f aca="false">IF(E208="","","BUG-"&amp;TEXT(ROW()-5,"000"))</f>
        <v/>
      </c>
      <c r="B208" s="46"/>
      <c r="C208" s="32"/>
      <c r="D208" s="32"/>
      <c r="E208" s="32"/>
      <c r="F208" s="32"/>
      <c r="G208" s="32"/>
      <c r="H208" s="32"/>
      <c r="I208" s="34"/>
      <c r="J208" s="34"/>
      <c r="K208" s="32"/>
      <c r="L208" s="32"/>
      <c r="M208" s="47"/>
    </row>
    <row r="209" customFormat="false" ht="15" hidden="false" customHeight="false" outlineLevel="0" collapsed="false">
      <c r="A209" s="35" t="str">
        <f aca="false">IF(E209="","","BUG-"&amp;TEXT(ROW()-5,"000"))</f>
        <v/>
      </c>
      <c r="B209" s="46"/>
      <c r="C209" s="32"/>
      <c r="D209" s="32"/>
      <c r="E209" s="32"/>
      <c r="F209" s="32"/>
      <c r="G209" s="32"/>
      <c r="H209" s="32"/>
      <c r="I209" s="34"/>
      <c r="J209" s="34"/>
      <c r="K209" s="32"/>
      <c r="L209" s="32"/>
      <c r="M209" s="47"/>
    </row>
    <row r="210" customFormat="false" ht="15" hidden="false" customHeight="false" outlineLevel="0" collapsed="false">
      <c r="A210" s="35" t="str">
        <f aca="false">IF(E210="","","BUG-"&amp;TEXT(ROW()-5,"000"))</f>
        <v/>
      </c>
      <c r="B210" s="46"/>
      <c r="C210" s="32"/>
      <c r="D210" s="32"/>
      <c r="E210" s="32"/>
      <c r="F210" s="32"/>
      <c r="G210" s="32"/>
      <c r="H210" s="32"/>
      <c r="I210" s="34"/>
      <c r="J210" s="34"/>
      <c r="K210" s="32"/>
      <c r="L210" s="32"/>
      <c r="M210" s="47"/>
    </row>
    <row r="211" customFormat="false" ht="15" hidden="false" customHeight="false" outlineLevel="0" collapsed="false">
      <c r="A211" s="35" t="str">
        <f aca="false">IF(E211="","","BUG-"&amp;TEXT(ROW()-5,"000"))</f>
        <v/>
      </c>
      <c r="B211" s="46"/>
      <c r="C211" s="32"/>
      <c r="D211" s="32"/>
      <c r="E211" s="32"/>
      <c r="F211" s="32"/>
      <c r="G211" s="32"/>
      <c r="H211" s="32"/>
      <c r="I211" s="34"/>
      <c r="J211" s="34"/>
      <c r="K211" s="32"/>
      <c r="L211" s="32"/>
      <c r="M211" s="47"/>
    </row>
    <row r="212" customFormat="false" ht="15" hidden="false" customHeight="false" outlineLevel="0" collapsed="false">
      <c r="A212" s="35" t="str">
        <f aca="false">IF(E212="","","BUG-"&amp;TEXT(ROW()-5,"000"))</f>
        <v/>
      </c>
      <c r="B212" s="46"/>
      <c r="C212" s="32"/>
      <c r="D212" s="32"/>
      <c r="E212" s="32"/>
      <c r="F212" s="32"/>
      <c r="G212" s="32"/>
      <c r="H212" s="32"/>
      <c r="I212" s="34"/>
      <c r="J212" s="34"/>
      <c r="K212" s="32"/>
      <c r="L212" s="32"/>
      <c r="M212" s="47"/>
    </row>
    <row r="213" customFormat="false" ht="15" hidden="false" customHeight="false" outlineLevel="0" collapsed="false">
      <c r="A213" s="35" t="str">
        <f aca="false">IF(E213="","","BUG-"&amp;TEXT(ROW()-5,"000"))</f>
        <v/>
      </c>
      <c r="B213" s="46"/>
      <c r="C213" s="32"/>
      <c r="D213" s="32"/>
      <c r="E213" s="32"/>
      <c r="F213" s="32"/>
      <c r="G213" s="32"/>
      <c r="H213" s="32"/>
      <c r="I213" s="34"/>
      <c r="J213" s="34"/>
      <c r="K213" s="32"/>
      <c r="L213" s="32"/>
      <c r="M213" s="47"/>
    </row>
    <row r="214" customFormat="false" ht="15" hidden="false" customHeight="false" outlineLevel="0" collapsed="false">
      <c r="A214" s="35" t="str">
        <f aca="false">IF(E214="","","BUG-"&amp;TEXT(ROW()-5,"000"))</f>
        <v/>
      </c>
      <c r="B214" s="46"/>
      <c r="C214" s="32"/>
      <c r="D214" s="32"/>
      <c r="E214" s="32"/>
      <c r="F214" s="32"/>
      <c r="G214" s="32"/>
      <c r="H214" s="32"/>
      <c r="I214" s="34"/>
      <c r="J214" s="34"/>
      <c r="K214" s="32"/>
      <c r="L214" s="32"/>
      <c r="M214" s="47"/>
    </row>
    <row r="215" customFormat="false" ht="15" hidden="false" customHeight="false" outlineLevel="0" collapsed="false">
      <c r="A215" s="35" t="str">
        <f aca="false">IF(E215="","","BUG-"&amp;TEXT(ROW()-5,"000"))</f>
        <v/>
      </c>
      <c r="B215" s="46"/>
      <c r="C215" s="32"/>
      <c r="D215" s="32"/>
      <c r="E215" s="32"/>
      <c r="F215" s="32"/>
      <c r="G215" s="32"/>
      <c r="H215" s="32"/>
      <c r="I215" s="34"/>
      <c r="J215" s="34"/>
      <c r="K215" s="32"/>
      <c r="L215" s="32"/>
      <c r="M215" s="47"/>
    </row>
    <row r="216" customFormat="false" ht="15" hidden="false" customHeight="false" outlineLevel="0" collapsed="false">
      <c r="A216" s="35" t="str">
        <f aca="false">IF(E216="","","BUG-"&amp;TEXT(ROW()-5,"000"))</f>
        <v/>
      </c>
      <c r="B216" s="46"/>
      <c r="C216" s="32"/>
      <c r="D216" s="32"/>
      <c r="E216" s="32"/>
      <c r="F216" s="32"/>
      <c r="G216" s="32"/>
      <c r="H216" s="32"/>
      <c r="I216" s="34"/>
      <c r="J216" s="34"/>
      <c r="K216" s="32"/>
      <c r="L216" s="32"/>
      <c r="M216" s="47"/>
    </row>
    <row r="217" customFormat="false" ht="15" hidden="false" customHeight="false" outlineLevel="0" collapsed="false">
      <c r="A217" s="35" t="str">
        <f aca="false">IF(E217="","","BUG-"&amp;TEXT(ROW()-5,"000"))</f>
        <v/>
      </c>
      <c r="B217" s="46"/>
      <c r="C217" s="32"/>
      <c r="D217" s="32"/>
      <c r="E217" s="32"/>
      <c r="F217" s="32"/>
      <c r="G217" s="32"/>
      <c r="H217" s="32"/>
      <c r="I217" s="34"/>
      <c r="J217" s="34"/>
      <c r="K217" s="32"/>
      <c r="L217" s="32"/>
      <c r="M217" s="47"/>
    </row>
    <row r="218" customFormat="false" ht="15" hidden="false" customHeight="false" outlineLevel="0" collapsed="false">
      <c r="A218" s="35" t="str">
        <f aca="false">IF(E218="","","BUG-"&amp;TEXT(ROW()-5,"000"))</f>
        <v/>
      </c>
      <c r="B218" s="46"/>
      <c r="C218" s="32"/>
      <c r="D218" s="32"/>
      <c r="E218" s="32"/>
      <c r="F218" s="32"/>
      <c r="G218" s="32"/>
      <c r="H218" s="32"/>
      <c r="I218" s="34"/>
      <c r="J218" s="34"/>
      <c r="K218" s="32"/>
      <c r="L218" s="32"/>
      <c r="M218" s="47"/>
    </row>
    <row r="219" customFormat="false" ht="15" hidden="false" customHeight="false" outlineLevel="0" collapsed="false">
      <c r="A219" s="35" t="str">
        <f aca="false">IF(E219="","","BUG-"&amp;TEXT(ROW()-5,"000"))</f>
        <v/>
      </c>
      <c r="B219" s="46"/>
      <c r="C219" s="32"/>
      <c r="D219" s="32"/>
      <c r="E219" s="32"/>
      <c r="F219" s="32"/>
      <c r="G219" s="32"/>
      <c r="H219" s="32"/>
      <c r="I219" s="34"/>
      <c r="J219" s="34"/>
      <c r="K219" s="32"/>
      <c r="L219" s="32"/>
      <c r="M219" s="47"/>
    </row>
    <row r="220" customFormat="false" ht="15" hidden="false" customHeight="false" outlineLevel="0" collapsed="false">
      <c r="A220" s="35" t="str">
        <f aca="false">IF(E220="","","BUG-"&amp;TEXT(ROW()-5,"000"))</f>
        <v/>
      </c>
      <c r="B220" s="46"/>
      <c r="C220" s="32"/>
      <c r="D220" s="32"/>
      <c r="E220" s="32"/>
      <c r="F220" s="32"/>
      <c r="G220" s="32"/>
      <c r="H220" s="32"/>
      <c r="I220" s="34"/>
      <c r="J220" s="34"/>
      <c r="K220" s="32"/>
      <c r="L220" s="32"/>
      <c r="M220" s="47"/>
    </row>
    <row r="221" customFormat="false" ht="15" hidden="false" customHeight="false" outlineLevel="0" collapsed="false">
      <c r="A221" s="35" t="str">
        <f aca="false">IF(E221="","","BUG-"&amp;TEXT(ROW()-5,"000"))</f>
        <v/>
      </c>
      <c r="B221" s="46"/>
      <c r="C221" s="32"/>
      <c r="D221" s="32"/>
      <c r="E221" s="32"/>
      <c r="F221" s="32"/>
      <c r="G221" s="32"/>
      <c r="H221" s="32"/>
      <c r="I221" s="34"/>
      <c r="J221" s="34"/>
      <c r="K221" s="32"/>
      <c r="L221" s="32"/>
      <c r="M221" s="47"/>
    </row>
    <row r="222" customFormat="false" ht="15" hidden="false" customHeight="false" outlineLevel="0" collapsed="false">
      <c r="A222" s="35" t="str">
        <f aca="false">IF(E222="","","BUG-"&amp;TEXT(ROW()-5,"000"))</f>
        <v/>
      </c>
      <c r="B222" s="46"/>
      <c r="C222" s="32"/>
      <c r="D222" s="32"/>
      <c r="E222" s="32"/>
      <c r="F222" s="32"/>
      <c r="G222" s="32"/>
      <c r="H222" s="32"/>
      <c r="I222" s="34"/>
      <c r="J222" s="34"/>
      <c r="K222" s="32"/>
      <c r="L222" s="32"/>
      <c r="M222" s="47"/>
    </row>
    <row r="223" customFormat="false" ht="15" hidden="false" customHeight="false" outlineLevel="0" collapsed="false">
      <c r="A223" s="35" t="str">
        <f aca="false">IF(E223="","","BUG-"&amp;TEXT(ROW()-5,"000"))</f>
        <v/>
      </c>
      <c r="B223" s="46"/>
      <c r="C223" s="32"/>
      <c r="D223" s="32"/>
      <c r="E223" s="32"/>
      <c r="F223" s="32"/>
      <c r="G223" s="32"/>
      <c r="H223" s="32"/>
      <c r="I223" s="34"/>
      <c r="J223" s="34"/>
      <c r="K223" s="32"/>
      <c r="L223" s="32"/>
      <c r="M223" s="47"/>
    </row>
    <row r="224" customFormat="false" ht="15" hidden="false" customHeight="false" outlineLevel="0" collapsed="false">
      <c r="A224" s="35" t="str">
        <f aca="false">IF(E224="","","BUG-"&amp;TEXT(ROW()-5,"000"))</f>
        <v/>
      </c>
      <c r="B224" s="46"/>
      <c r="C224" s="32"/>
      <c r="D224" s="32"/>
      <c r="E224" s="32"/>
      <c r="F224" s="32"/>
      <c r="G224" s="32"/>
      <c r="H224" s="32"/>
      <c r="I224" s="34"/>
      <c r="J224" s="34"/>
      <c r="K224" s="32"/>
      <c r="L224" s="32"/>
      <c r="M224" s="47"/>
    </row>
    <row r="225" customFormat="false" ht="15" hidden="false" customHeight="false" outlineLevel="0" collapsed="false">
      <c r="A225" s="35" t="str">
        <f aca="false">IF(E225="","","BUG-"&amp;TEXT(ROW()-5,"000"))</f>
        <v/>
      </c>
      <c r="B225" s="46"/>
      <c r="C225" s="32"/>
      <c r="D225" s="32"/>
      <c r="E225" s="32"/>
      <c r="F225" s="32"/>
      <c r="G225" s="32"/>
      <c r="H225" s="32"/>
      <c r="I225" s="34"/>
      <c r="J225" s="34"/>
      <c r="K225" s="32"/>
      <c r="L225" s="32"/>
      <c r="M225" s="47"/>
    </row>
    <row r="226" customFormat="false" ht="15" hidden="false" customHeight="false" outlineLevel="0" collapsed="false">
      <c r="A226" s="35" t="str">
        <f aca="false">IF(E226="","","BUG-"&amp;TEXT(ROW()-5,"000"))</f>
        <v/>
      </c>
      <c r="B226" s="46"/>
      <c r="C226" s="32"/>
      <c r="D226" s="32"/>
      <c r="E226" s="32"/>
      <c r="F226" s="32"/>
      <c r="G226" s="32"/>
      <c r="H226" s="32"/>
      <c r="I226" s="34"/>
      <c r="J226" s="34"/>
      <c r="K226" s="32"/>
      <c r="L226" s="32"/>
      <c r="M226" s="47"/>
    </row>
    <row r="227" customFormat="false" ht="15" hidden="false" customHeight="false" outlineLevel="0" collapsed="false">
      <c r="A227" s="35" t="str">
        <f aca="false">IF(E227="","","BUG-"&amp;TEXT(ROW()-5,"000"))</f>
        <v/>
      </c>
      <c r="B227" s="46"/>
      <c r="C227" s="32"/>
      <c r="D227" s="32"/>
      <c r="E227" s="32"/>
      <c r="F227" s="32"/>
      <c r="G227" s="32"/>
      <c r="H227" s="32"/>
      <c r="I227" s="34"/>
      <c r="J227" s="34"/>
      <c r="K227" s="32"/>
      <c r="L227" s="32"/>
      <c r="M227" s="47"/>
    </row>
    <row r="228" customFormat="false" ht="15" hidden="false" customHeight="false" outlineLevel="0" collapsed="false">
      <c r="A228" s="35" t="str">
        <f aca="false">IF(E228="","","BUG-"&amp;TEXT(ROW()-5,"000"))</f>
        <v/>
      </c>
      <c r="B228" s="46"/>
      <c r="C228" s="32"/>
      <c r="D228" s="32"/>
      <c r="E228" s="32"/>
      <c r="F228" s="32"/>
      <c r="G228" s="32"/>
      <c r="H228" s="32"/>
      <c r="I228" s="34"/>
      <c r="J228" s="34"/>
      <c r="K228" s="32"/>
      <c r="L228" s="32"/>
      <c r="M228" s="47"/>
    </row>
    <row r="229" customFormat="false" ht="15" hidden="false" customHeight="false" outlineLevel="0" collapsed="false">
      <c r="A229" s="35" t="str">
        <f aca="false">IF(E229="","","BUG-"&amp;TEXT(ROW()-5,"000"))</f>
        <v/>
      </c>
      <c r="B229" s="46"/>
      <c r="C229" s="32"/>
      <c r="D229" s="32"/>
      <c r="E229" s="32"/>
      <c r="F229" s="32"/>
      <c r="G229" s="32"/>
      <c r="H229" s="32"/>
      <c r="I229" s="34"/>
      <c r="J229" s="34"/>
      <c r="K229" s="32"/>
      <c r="L229" s="32"/>
      <c r="M229" s="47"/>
    </row>
    <row r="230" customFormat="false" ht="15" hidden="false" customHeight="false" outlineLevel="0" collapsed="false">
      <c r="A230" s="35" t="str">
        <f aca="false">IF(E230="","","BUG-"&amp;TEXT(ROW()-5,"000"))</f>
        <v/>
      </c>
      <c r="B230" s="46"/>
      <c r="C230" s="32"/>
      <c r="D230" s="32"/>
      <c r="E230" s="32"/>
      <c r="F230" s="32"/>
      <c r="G230" s="32"/>
      <c r="H230" s="32"/>
      <c r="I230" s="34"/>
      <c r="J230" s="34"/>
      <c r="K230" s="32"/>
      <c r="L230" s="32"/>
      <c r="M230" s="47"/>
    </row>
    <row r="231" customFormat="false" ht="15" hidden="false" customHeight="false" outlineLevel="0" collapsed="false">
      <c r="A231" s="35" t="str">
        <f aca="false">IF(E231="","","BUG-"&amp;TEXT(ROW()-5,"000"))</f>
        <v/>
      </c>
      <c r="B231" s="46"/>
      <c r="C231" s="32"/>
      <c r="D231" s="32"/>
      <c r="E231" s="32"/>
      <c r="F231" s="32"/>
      <c r="G231" s="32"/>
      <c r="H231" s="32"/>
      <c r="I231" s="34"/>
      <c r="J231" s="34"/>
      <c r="K231" s="32"/>
      <c r="L231" s="32"/>
      <c r="M231" s="47"/>
    </row>
    <row r="232" customFormat="false" ht="15" hidden="false" customHeight="false" outlineLevel="0" collapsed="false">
      <c r="A232" s="35" t="str">
        <f aca="false">IF(E232="","","BUG-"&amp;TEXT(ROW()-5,"000"))</f>
        <v/>
      </c>
      <c r="B232" s="46"/>
      <c r="C232" s="32"/>
      <c r="D232" s="32"/>
      <c r="E232" s="32"/>
      <c r="F232" s="32"/>
      <c r="G232" s="32"/>
      <c r="H232" s="32"/>
      <c r="I232" s="34"/>
      <c r="J232" s="34"/>
      <c r="K232" s="32"/>
      <c r="L232" s="32"/>
      <c r="M232" s="47"/>
    </row>
    <row r="233" customFormat="false" ht="15" hidden="false" customHeight="false" outlineLevel="0" collapsed="false">
      <c r="A233" s="35" t="str">
        <f aca="false">IF(E233="","","BUG-"&amp;TEXT(ROW()-5,"000"))</f>
        <v/>
      </c>
      <c r="B233" s="46"/>
      <c r="C233" s="32"/>
      <c r="D233" s="32"/>
      <c r="E233" s="32"/>
      <c r="F233" s="32"/>
      <c r="G233" s="32"/>
      <c r="H233" s="32"/>
      <c r="I233" s="34"/>
      <c r="J233" s="34"/>
      <c r="K233" s="32"/>
      <c r="L233" s="32"/>
      <c r="M233" s="47"/>
    </row>
    <row r="234" customFormat="false" ht="15" hidden="false" customHeight="false" outlineLevel="0" collapsed="false">
      <c r="A234" s="35" t="str">
        <f aca="false">IF(E234="","","BUG-"&amp;TEXT(ROW()-5,"000"))</f>
        <v/>
      </c>
      <c r="B234" s="46"/>
      <c r="C234" s="32"/>
      <c r="D234" s="32"/>
      <c r="E234" s="32"/>
      <c r="F234" s="32"/>
      <c r="G234" s="32"/>
      <c r="H234" s="32"/>
      <c r="I234" s="34"/>
      <c r="J234" s="34"/>
      <c r="K234" s="32"/>
      <c r="L234" s="32"/>
      <c r="M234" s="47"/>
    </row>
    <row r="235" customFormat="false" ht="15" hidden="false" customHeight="false" outlineLevel="0" collapsed="false">
      <c r="A235" s="35" t="str">
        <f aca="false">IF(E235="","","BUG-"&amp;TEXT(ROW()-5,"000"))</f>
        <v/>
      </c>
      <c r="B235" s="46"/>
      <c r="C235" s="32"/>
      <c r="D235" s="32"/>
      <c r="E235" s="32"/>
      <c r="F235" s="32"/>
      <c r="G235" s="32"/>
      <c r="H235" s="32"/>
      <c r="I235" s="34"/>
      <c r="J235" s="34"/>
      <c r="K235" s="32"/>
      <c r="L235" s="32"/>
      <c r="M235" s="47"/>
    </row>
    <row r="236" customFormat="false" ht="15" hidden="false" customHeight="false" outlineLevel="0" collapsed="false">
      <c r="A236" s="35" t="str">
        <f aca="false">IF(E236="","","BUG-"&amp;TEXT(ROW()-5,"000"))</f>
        <v/>
      </c>
      <c r="B236" s="46"/>
      <c r="C236" s="32"/>
      <c r="D236" s="32"/>
      <c r="E236" s="32"/>
      <c r="F236" s="32"/>
      <c r="G236" s="32"/>
      <c r="H236" s="32"/>
      <c r="I236" s="34"/>
      <c r="J236" s="34"/>
      <c r="K236" s="32"/>
      <c r="L236" s="32"/>
      <c r="M236" s="47"/>
    </row>
    <row r="237" customFormat="false" ht="15" hidden="false" customHeight="false" outlineLevel="0" collapsed="false">
      <c r="A237" s="35" t="str">
        <f aca="false">IF(E237="","","BUG-"&amp;TEXT(ROW()-5,"000"))</f>
        <v/>
      </c>
      <c r="B237" s="46"/>
      <c r="C237" s="32"/>
      <c r="D237" s="32"/>
      <c r="E237" s="32"/>
      <c r="F237" s="32"/>
      <c r="G237" s="32"/>
      <c r="H237" s="32"/>
      <c r="I237" s="34"/>
      <c r="J237" s="34"/>
      <c r="K237" s="32"/>
      <c r="L237" s="32"/>
      <c r="M237" s="47"/>
    </row>
    <row r="238" customFormat="false" ht="15" hidden="false" customHeight="false" outlineLevel="0" collapsed="false">
      <c r="A238" s="35" t="str">
        <f aca="false">IF(E238="","","BUG-"&amp;TEXT(ROW()-5,"000"))</f>
        <v/>
      </c>
      <c r="B238" s="46"/>
      <c r="C238" s="32"/>
      <c r="D238" s="32"/>
      <c r="E238" s="32"/>
      <c r="F238" s="32"/>
      <c r="G238" s="32"/>
      <c r="H238" s="32"/>
      <c r="I238" s="34"/>
      <c r="J238" s="34"/>
      <c r="K238" s="32"/>
      <c r="L238" s="32"/>
      <c r="M238" s="47"/>
    </row>
    <row r="239" customFormat="false" ht="15" hidden="false" customHeight="false" outlineLevel="0" collapsed="false">
      <c r="A239" s="35" t="str">
        <f aca="false">IF(E239="","","BUG-"&amp;TEXT(ROW()-5,"000"))</f>
        <v/>
      </c>
      <c r="B239" s="46"/>
      <c r="C239" s="32"/>
      <c r="D239" s="32"/>
      <c r="E239" s="32"/>
      <c r="F239" s="32"/>
      <c r="G239" s="32"/>
      <c r="H239" s="32"/>
      <c r="I239" s="34"/>
      <c r="J239" s="34"/>
      <c r="K239" s="32"/>
      <c r="L239" s="32"/>
      <c r="M239" s="47"/>
    </row>
    <row r="240" customFormat="false" ht="15" hidden="false" customHeight="false" outlineLevel="0" collapsed="false">
      <c r="A240" s="35" t="str">
        <f aca="false">IF(E240="","","BUG-"&amp;TEXT(ROW()-5,"000"))</f>
        <v/>
      </c>
      <c r="B240" s="46"/>
      <c r="C240" s="32"/>
      <c r="D240" s="32"/>
      <c r="E240" s="32"/>
      <c r="F240" s="32"/>
      <c r="G240" s="32"/>
      <c r="H240" s="32"/>
      <c r="I240" s="34"/>
      <c r="J240" s="34"/>
      <c r="K240" s="32"/>
      <c r="L240" s="32"/>
      <c r="M240" s="47"/>
    </row>
    <row r="241" customFormat="false" ht="15" hidden="false" customHeight="false" outlineLevel="0" collapsed="false">
      <c r="A241" s="35" t="str">
        <f aca="false">IF(E241="","","BUG-"&amp;TEXT(ROW()-5,"000"))</f>
        <v/>
      </c>
      <c r="B241" s="46"/>
      <c r="C241" s="32"/>
      <c r="D241" s="32"/>
      <c r="E241" s="32"/>
      <c r="F241" s="32"/>
      <c r="G241" s="32"/>
      <c r="H241" s="32"/>
      <c r="I241" s="34"/>
      <c r="J241" s="34"/>
      <c r="K241" s="32"/>
      <c r="L241" s="32"/>
      <c r="M241" s="47"/>
    </row>
    <row r="242" customFormat="false" ht="15" hidden="false" customHeight="false" outlineLevel="0" collapsed="false">
      <c r="A242" s="35" t="str">
        <f aca="false">IF(E242="","","BUG-"&amp;TEXT(ROW()-5,"000"))</f>
        <v/>
      </c>
      <c r="B242" s="46"/>
      <c r="C242" s="32"/>
      <c r="D242" s="32"/>
      <c r="E242" s="32"/>
      <c r="F242" s="32"/>
      <c r="G242" s="32"/>
      <c r="H242" s="32"/>
      <c r="I242" s="34"/>
      <c r="J242" s="34"/>
      <c r="K242" s="32"/>
      <c r="L242" s="32"/>
      <c r="M242" s="47"/>
    </row>
    <row r="243" customFormat="false" ht="15" hidden="false" customHeight="false" outlineLevel="0" collapsed="false">
      <c r="A243" s="35" t="str">
        <f aca="false">IF(E243="","","BUG-"&amp;TEXT(ROW()-5,"000"))</f>
        <v/>
      </c>
      <c r="B243" s="46"/>
      <c r="C243" s="32"/>
      <c r="D243" s="32"/>
      <c r="E243" s="32"/>
      <c r="F243" s="32"/>
      <c r="G243" s="32"/>
      <c r="H243" s="32"/>
      <c r="I243" s="34"/>
      <c r="J243" s="34"/>
      <c r="K243" s="32"/>
      <c r="L243" s="32"/>
      <c r="M243" s="47"/>
    </row>
    <row r="244" customFormat="false" ht="15" hidden="false" customHeight="false" outlineLevel="0" collapsed="false">
      <c r="A244" s="35" t="str">
        <f aca="false">IF(E244="","","BUG-"&amp;TEXT(ROW()-5,"000"))</f>
        <v/>
      </c>
      <c r="B244" s="46"/>
      <c r="C244" s="32"/>
      <c r="D244" s="32"/>
      <c r="E244" s="32"/>
      <c r="F244" s="32"/>
      <c r="G244" s="32"/>
      <c r="H244" s="32"/>
      <c r="I244" s="34"/>
      <c r="J244" s="34"/>
      <c r="K244" s="32"/>
      <c r="L244" s="32"/>
      <c r="M244" s="47"/>
    </row>
    <row r="245" customFormat="false" ht="15" hidden="false" customHeight="false" outlineLevel="0" collapsed="false">
      <c r="A245" s="35" t="str">
        <f aca="false">IF(E245="","","BUG-"&amp;TEXT(ROW()-5,"000"))</f>
        <v/>
      </c>
      <c r="B245" s="46"/>
      <c r="C245" s="32"/>
      <c r="D245" s="32"/>
      <c r="E245" s="32"/>
      <c r="F245" s="32"/>
      <c r="G245" s="32"/>
      <c r="H245" s="32"/>
      <c r="I245" s="34"/>
      <c r="J245" s="34"/>
      <c r="K245" s="32"/>
      <c r="L245" s="32"/>
      <c r="M245" s="47"/>
    </row>
    <row r="246" customFormat="false" ht="15" hidden="false" customHeight="false" outlineLevel="0" collapsed="false">
      <c r="A246" s="35" t="str">
        <f aca="false">IF(E246="","","BUG-"&amp;TEXT(ROW()-5,"000"))</f>
        <v/>
      </c>
      <c r="B246" s="46"/>
      <c r="C246" s="32"/>
      <c r="D246" s="32"/>
      <c r="E246" s="32"/>
      <c r="F246" s="32"/>
      <c r="G246" s="32"/>
      <c r="H246" s="32"/>
      <c r="I246" s="34"/>
      <c r="J246" s="34"/>
      <c r="K246" s="32"/>
      <c r="L246" s="32"/>
      <c r="M246" s="47"/>
    </row>
    <row r="247" customFormat="false" ht="15" hidden="false" customHeight="false" outlineLevel="0" collapsed="false">
      <c r="A247" s="35" t="str">
        <f aca="false">IF(E247="","","BUG-"&amp;TEXT(ROW()-5,"000"))</f>
        <v/>
      </c>
      <c r="B247" s="46"/>
      <c r="C247" s="32"/>
      <c r="D247" s="32"/>
      <c r="E247" s="32"/>
      <c r="F247" s="32"/>
      <c r="G247" s="32"/>
      <c r="H247" s="32"/>
      <c r="I247" s="34"/>
      <c r="J247" s="34"/>
      <c r="K247" s="32"/>
      <c r="L247" s="32"/>
      <c r="M247" s="47"/>
    </row>
    <row r="248" customFormat="false" ht="15" hidden="false" customHeight="false" outlineLevel="0" collapsed="false">
      <c r="A248" s="35" t="str">
        <f aca="false">IF(E248="","","BUG-"&amp;TEXT(ROW()-5,"000"))</f>
        <v/>
      </c>
      <c r="B248" s="46"/>
      <c r="C248" s="32"/>
      <c r="D248" s="32"/>
      <c r="E248" s="32"/>
      <c r="F248" s="32"/>
      <c r="G248" s="32"/>
      <c r="H248" s="32"/>
      <c r="I248" s="34"/>
      <c r="J248" s="34"/>
      <c r="K248" s="32"/>
      <c r="L248" s="32"/>
      <c r="M248" s="47"/>
    </row>
    <row r="249" customFormat="false" ht="15" hidden="false" customHeight="false" outlineLevel="0" collapsed="false">
      <c r="A249" s="35" t="str">
        <f aca="false">IF(E249="","","BUG-"&amp;TEXT(ROW()-5,"000"))</f>
        <v/>
      </c>
      <c r="B249" s="46"/>
      <c r="C249" s="32"/>
      <c r="D249" s="32"/>
      <c r="E249" s="32"/>
      <c r="F249" s="32"/>
      <c r="G249" s="32"/>
      <c r="H249" s="32"/>
      <c r="I249" s="34"/>
      <c r="J249" s="34"/>
      <c r="K249" s="32"/>
      <c r="L249" s="32"/>
      <c r="M249" s="47"/>
    </row>
    <row r="250" customFormat="false" ht="15" hidden="false" customHeight="false" outlineLevel="0" collapsed="false">
      <c r="A250" s="35" t="str">
        <f aca="false">IF(E250="","","BUG-"&amp;TEXT(ROW()-5,"000"))</f>
        <v/>
      </c>
      <c r="B250" s="46"/>
      <c r="C250" s="32"/>
      <c r="D250" s="32"/>
      <c r="E250" s="32"/>
      <c r="F250" s="32"/>
      <c r="G250" s="32"/>
      <c r="H250" s="32"/>
      <c r="I250" s="34"/>
      <c r="J250" s="34"/>
      <c r="K250" s="32"/>
      <c r="L250" s="32"/>
      <c r="M250" s="47"/>
    </row>
    <row r="251" customFormat="false" ht="15" hidden="false" customHeight="false" outlineLevel="0" collapsed="false">
      <c r="A251" s="35" t="str">
        <f aca="false">IF(E251="","","BUG-"&amp;TEXT(ROW()-5,"000"))</f>
        <v/>
      </c>
      <c r="B251" s="46"/>
      <c r="C251" s="32"/>
      <c r="D251" s="32"/>
      <c r="E251" s="32"/>
      <c r="F251" s="32"/>
      <c r="G251" s="32"/>
      <c r="H251" s="32"/>
      <c r="I251" s="34"/>
      <c r="J251" s="34"/>
      <c r="K251" s="32"/>
      <c r="L251" s="32"/>
      <c r="M251" s="47"/>
    </row>
    <row r="252" customFormat="false" ht="15" hidden="false" customHeight="false" outlineLevel="0" collapsed="false">
      <c r="A252" s="35" t="str">
        <f aca="false">IF(E252="","","BUG-"&amp;TEXT(ROW()-5,"000"))</f>
        <v/>
      </c>
      <c r="B252" s="46"/>
      <c r="C252" s="32"/>
      <c r="D252" s="32"/>
      <c r="E252" s="32"/>
      <c r="F252" s="32"/>
      <c r="G252" s="32"/>
      <c r="H252" s="32"/>
      <c r="I252" s="34"/>
      <c r="J252" s="34"/>
      <c r="K252" s="32"/>
      <c r="L252" s="32"/>
      <c r="M252" s="47"/>
    </row>
    <row r="253" customFormat="false" ht="15" hidden="false" customHeight="false" outlineLevel="0" collapsed="false">
      <c r="A253" s="35" t="str">
        <f aca="false">IF(E253="","","BUG-"&amp;TEXT(ROW()-5,"000"))</f>
        <v/>
      </c>
      <c r="B253" s="46"/>
      <c r="C253" s="32"/>
      <c r="D253" s="32"/>
      <c r="E253" s="32"/>
      <c r="F253" s="32"/>
      <c r="G253" s="32"/>
      <c r="H253" s="32"/>
      <c r="I253" s="34"/>
      <c r="J253" s="34"/>
      <c r="K253" s="32"/>
      <c r="L253" s="32"/>
      <c r="M253" s="47"/>
    </row>
    <row r="254" customFormat="false" ht="15" hidden="false" customHeight="false" outlineLevel="0" collapsed="false">
      <c r="A254" s="35" t="str">
        <f aca="false">IF(E254="","","BUG-"&amp;TEXT(ROW()-5,"000"))</f>
        <v/>
      </c>
      <c r="B254" s="46"/>
      <c r="C254" s="32"/>
      <c r="D254" s="32"/>
      <c r="E254" s="32"/>
      <c r="F254" s="32"/>
      <c r="G254" s="32"/>
      <c r="H254" s="32"/>
      <c r="I254" s="34"/>
      <c r="J254" s="34"/>
      <c r="K254" s="32"/>
      <c r="L254" s="32"/>
      <c r="M254" s="47"/>
    </row>
    <row r="255" customFormat="false" ht="15" hidden="false" customHeight="false" outlineLevel="0" collapsed="false">
      <c r="A255" s="35" t="str">
        <f aca="false">IF(E255="","","BUG-"&amp;TEXT(ROW()-5,"000"))</f>
        <v/>
      </c>
      <c r="B255" s="46"/>
      <c r="C255" s="32"/>
      <c r="D255" s="32"/>
      <c r="E255" s="32"/>
      <c r="F255" s="32"/>
      <c r="G255" s="32"/>
      <c r="H255" s="32"/>
      <c r="I255" s="34"/>
      <c r="J255" s="34"/>
      <c r="K255" s="32"/>
      <c r="L255" s="32"/>
      <c r="M255" s="47"/>
    </row>
    <row r="256" customFormat="false" ht="15" hidden="false" customHeight="false" outlineLevel="0" collapsed="false">
      <c r="A256" s="35" t="str">
        <f aca="false">IF(E256="","","BUG-"&amp;TEXT(ROW()-5,"000"))</f>
        <v/>
      </c>
      <c r="B256" s="46"/>
      <c r="C256" s="32"/>
      <c r="D256" s="32"/>
      <c r="E256" s="32"/>
      <c r="F256" s="32"/>
      <c r="G256" s="32"/>
      <c r="H256" s="32"/>
      <c r="I256" s="34"/>
      <c r="J256" s="34"/>
      <c r="K256" s="32"/>
      <c r="L256" s="32"/>
      <c r="M256" s="47"/>
    </row>
    <row r="257" customFormat="false" ht="15" hidden="false" customHeight="false" outlineLevel="0" collapsed="false">
      <c r="A257" s="35" t="str">
        <f aca="false">IF(E257="","","BUG-"&amp;TEXT(ROW()-5,"000"))</f>
        <v/>
      </c>
      <c r="B257" s="46"/>
      <c r="C257" s="32"/>
      <c r="D257" s="32"/>
      <c r="E257" s="32"/>
      <c r="F257" s="32"/>
      <c r="G257" s="32"/>
      <c r="H257" s="32"/>
      <c r="I257" s="34"/>
      <c r="J257" s="34"/>
      <c r="K257" s="32"/>
      <c r="L257" s="32"/>
      <c r="M257" s="47"/>
    </row>
    <row r="258" customFormat="false" ht="15" hidden="false" customHeight="false" outlineLevel="0" collapsed="false">
      <c r="A258" s="35" t="str">
        <f aca="false">IF(E258="","","BUG-"&amp;TEXT(ROW()-5,"000"))</f>
        <v/>
      </c>
      <c r="B258" s="46"/>
      <c r="C258" s="32"/>
      <c r="D258" s="32"/>
      <c r="E258" s="32"/>
      <c r="F258" s="32"/>
      <c r="G258" s="32"/>
      <c r="H258" s="32"/>
      <c r="I258" s="34"/>
      <c r="J258" s="34"/>
      <c r="K258" s="32"/>
      <c r="L258" s="32"/>
      <c r="M258" s="47"/>
    </row>
    <row r="259" customFormat="false" ht="15" hidden="false" customHeight="false" outlineLevel="0" collapsed="false">
      <c r="A259" s="35" t="str">
        <f aca="false">IF(E259="","","BUG-"&amp;TEXT(ROW()-5,"000"))</f>
        <v/>
      </c>
      <c r="B259" s="46"/>
      <c r="C259" s="32"/>
      <c r="D259" s="32"/>
      <c r="E259" s="32"/>
      <c r="F259" s="32"/>
      <c r="G259" s="32"/>
      <c r="H259" s="32"/>
      <c r="I259" s="34"/>
      <c r="J259" s="34"/>
      <c r="K259" s="32"/>
      <c r="L259" s="32"/>
      <c r="M259" s="47"/>
    </row>
    <row r="260" customFormat="false" ht="15" hidden="false" customHeight="false" outlineLevel="0" collapsed="false">
      <c r="A260" s="35" t="str">
        <f aca="false">IF(E260="","","BUG-"&amp;TEXT(ROW()-5,"000"))</f>
        <v/>
      </c>
      <c r="B260" s="46"/>
      <c r="C260" s="32"/>
      <c r="D260" s="32"/>
      <c r="E260" s="32"/>
      <c r="F260" s="32"/>
      <c r="G260" s="32"/>
      <c r="H260" s="32"/>
      <c r="I260" s="34"/>
      <c r="J260" s="34"/>
      <c r="K260" s="32"/>
      <c r="L260" s="32"/>
      <c r="M260" s="47"/>
    </row>
    <row r="261" customFormat="false" ht="15" hidden="false" customHeight="false" outlineLevel="0" collapsed="false">
      <c r="A261" s="35" t="str">
        <f aca="false">IF(E261="","","BUG-"&amp;TEXT(ROW()-5,"000"))</f>
        <v/>
      </c>
      <c r="B261" s="46"/>
      <c r="C261" s="32"/>
      <c r="D261" s="32"/>
      <c r="E261" s="32"/>
      <c r="F261" s="32"/>
      <c r="G261" s="32"/>
      <c r="H261" s="32"/>
      <c r="I261" s="34"/>
      <c r="J261" s="34"/>
      <c r="K261" s="32"/>
      <c r="L261" s="32"/>
      <c r="M261" s="47"/>
    </row>
    <row r="262" customFormat="false" ht="15" hidden="false" customHeight="false" outlineLevel="0" collapsed="false">
      <c r="A262" s="35" t="str">
        <f aca="false">IF(E262="","","BUG-"&amp;TEXT(ROW()-5,"000"))</f>
        <v/>
      </c>
      <c r="B262" s="46"/>
      <c r="C262" s="32"/>
      <c r="D262" s="32"/>
      <c r="E262" s="32"/>
      <c r="F262" s="32"/>
      <c r="G262" s="32"/>
      <c r="H262" s="32"/>
      <c r="I262" s="34"/>
      <c r="J262" s="34"/>
      <c r="K262" s="32"/>
      <c r="L262" s="32"/>
      <c r="M262" s="47"/>
    </row>
    <row r="263" customFormat="false" ht="15" hidden="false" customHeight="false" outlineLevel="0" collapsed="false">
      <c r="A263" s="35" t="str">
        <f aca="false">IF(E263="","","BUG-"&amp;TEXT(ROW()-5,"000"))</f>
        <v/>
      </c>
      <c r="B263" s="46"/>
      <c r="C263" s="32"/>
      <c r="D263" s="32"/>
      <c r="E263" s="32"/>
      <c r="F263" s="32"/>
      <c r="G263" s="32"/>
      <c r="H263" s="32"/>
      <c r="I263" s="34"/>
      <c r="J263" s="34"/>
      <c r="K263" s="32"/>
      <c r="L263" s="32"/>
      <c r="M263" s="47"/>
    </row>
    <row r="264" customFormat="false" ht="15" hidden="false" customHeight="false" outlineLevel="0" collapsed="false">
      <c r="A264" s="35" t="str">
        <f aca="false">IF(E264="","","BUG-"&amp;TEXT(ROW()-5,"000"))</f>
        <v/>
      </c>
      <c r="B264" s="46"/>
      <c r="C264" s="32"/>
      <c r="D264" s="32"/>
      <c r="E264" s="32"/>
      <c r="F264" s="32"/>
      <c r="G264" s="32"/>
      <c r="H264" s="32"/>
      <c r="I264" s="34"/>
      <c r="J264" s="34"/>
      <c r="K264" s="32"/>
      <c r="L264" s="32"/>
      <c r="M264" s="47"/>
    </row>
    <row r="265" customFormat="false" ht="15" hidden="false" customHeight="false" outlineLevel="0" collapsed="false">
      <c r="A265" s="35" t="str">
        <f aca="false">IF(E265="","","BUG-"&amp;TEXT(ROW()-5,"000"))</f>
        <v/>
      </c>
      <c r="B265" s="46"/>
      <c r="C265" s="32"/>
      <c r="D265" s="32"/>
      <c r="E265" s="32"/>
      <c r="F265" s="32"/>
      <c r="G265" s="32"/>
      <c r="H265" s="32"/>
      <c r="I265" s="34"/>
      <c r="J265" s="34"/>
      <c r="K265" s="32"/>
      <c r="L265" s="32"/>
      <c r="M265" s="47"/>
    </row>
    <row r="266" customFormat="false" ht="15" hidden="false" customHeight="false" outlineLevel="0" collapsed="false">
      <c r="A266" s="35" t="str">
        <f aca="false">IF(E266="","","BUG-"&amp;TEXT(ROW()-5,"000"))</f>
        <v/>
      </c>
      <c r="B266" s="46"/>
      <c r="C266" s="32"/>
      <c r="D266" s="32"/>
      <c r="E266" s="32"/>
      <c r="F266" s="32"/>
      <c r="G266" s="32"/>
      <c r="H266" s="32"/>
      <c r="I266" s="34"/>
      <c r="J266" s="34"/>
      <c r="K266" s="32"/>
      <c r="L266" s="32"/>
      <c r="M266" s="47"/>
    </row>
    <row r="267" customFormat="false" ht="15" hidden="false" customHeight="false" outlineLevel="0" collapsed="false">
      <c r="A267" s="35" t="str">
        <f aca="false">IF(E267="","","BUG-"&amp;TEXT(ROW()-5,"000"))</f>
        <v/>
      </c>
      <c r="B267" s="46"/>
      <c r="C267" s="32"/>
      <c r="D267" s="32"/>
      <c r="E267" s="32"/>
      <c r="F267" s="32"/>
      <c r="G267" s="32"/>
      <c r="H267" s="32"/>
      <c r="I267" s="34"/>
      <c r="J267" s="34"/>
      <c r="K267" s="32"/>
      <c r="L267" s="32"/>
      <c r="M267" s="47"/>
    </row>
    <row r="268" customFormat="false" ht="15" hidden="false" customHeight="false" outlineLevel="0" collapsed="false">
      <c r="A268" s="35" t="str">
        <f aca="false">IF(E268="","","BUG-"&amp;TEXT(ROW()-5,"000"))</f>
        <v/>
      </c>
      <c r="B268" s="46"/>
      <c r="C268" s="32"/>
      <c r="D268" s="32"/>
      <c r="E268" s="32"/>
      <c r="F268" s="32"/>
      <c r="G268" s="32"/>
      <c r="H268" s="32"/>
      <c r="I268" s="34"/>
      <c r="J268" s="34"/>
      <c r="K268" s="32"/>
      <c r="L268" s="32"/>
      <c r="M268" s="47"/>
    </row>
    <row r="269" customFormat="false" ht="15" hidden="false" customHeight="false" outlineLevel="0" collapsed="false">
      <c r="A269" s="35" t="str">
        <f aca="false">IF(E269="","","BUG-"&amp;TEXT(ROW()-5,"000"))</f>
        <v/>
      </c>
      <c r="B269" s="46"/>
      <c r="C269" s="32"/>
      <c r="D269" s="32"/>
      <c r="E269" s="32"/>
      <c r="F269" s="32"/>
      <c r="G269" s="32"/>
      <c r="H269" s="32"/>
      <c r="I269" s="34"/>
      <c r="J269" s="34"/>
      <c r="K269" s="32"/>
      <c r="L269" s="32"/>
      <c r="M269" s="47"/>
    </row>
    <row r="270" customFormat="false" ht="15" hidden="false" customHeight="false" outlineLevel="0" collapsed="false">
      <c r="A270" s="35" t="str">
        <f aca="false">IF(E270="","","BUG-"&amp;TEXT(ROW()-5,"000"))</f>
        <v/>
      </c>
      <c r="B270" s="46"/>
      <c r="C270" s="32"/>
      <c r="D270" s="32"/>
      <c r="E270" s="32"/>
      <c r="F270" s="32"/>
      <c r="G270" s="32"/>
      <c r="H270" s="32"/>
      <c r="I270" s="34"/>
      <c r="J270" s="34"/>
      <c r="K270" s="32"/>
      <c r="L270" s="32"/>
      <c r="M270" s="47"/>
    </row>
    <row r="271" customFormat="false" ht="15" hidden="false" customHeight="false" outlineLevel="0" collapsed="false">
      <c r="A271" s="35" t="str">
        <f aca="false">IF(E271="","","BUG-"&amp;TEXT(ROW()-5,"000"))</f>
        <v/>
      </c>
      <c r="B271" s="46"/>
      <c r="C271" s="32"/>
      <c r="D271" s="32"/>
      <c r="E271" s="32"/>
      <c r="F271" s="32"/>
      <c r="G271" s="32"/>
      <c r="H271" s="32"/>
      <c r="I271" s="34"/>
      <c r="J271" s="34"/>
      <c r="K271" s="32"/>
      <c r="L271" s="32"/>
      <c r="M271" s="47"/>
    </row>
    <row r="272" customFormat="false" ht="15" hidden="false" customHeight="false" outlineLevel="0" collapsed="false">
      <c r="A272" s="35" t="str">
        <f aca="false">IF(E272="","","BUG-"&amp;TEXT(ROW()-5,"000"))</f>
        <v/>
      </c>
      <c r="B272" s="46"/>
      <c r="C272" s="32"/>
      <c r="D272" s="32"/>
      <c r="E272" s="32"/>
      <c r="F272" s="32"/>
      <c r="G272" s="32"/>
      <c r="H272" s="32"/>
      <c r="I272" s="34"/>
      <c r="J272" s="34"/>
      <c r="K272" s="32"/>
      <c r="L272" s="32"/>
      <c r="M272" s="47"/>
    </row>
    <row r="273" customFormat="false" ht="15" hidden="false" customHeight="false" outlineLevel="0" collapsed="false">
      <c r="A273" s="35" t="str">
        <f aca="false">IF(E273="","","BUG-"&amp;TEXT(ROW()-5,"000"))</f>
        <v/>
      </c>
      <c r="B273" s="46"/>
      <c r="C273" s="32"/>
      <c r="D273" s="32"/>
      <c r="E273" s="32"/>
      <c r="F273" s="32"/>
      <c r="G273" s="32"/>
      <c r="H273" s="32"/>
      <c r="I273" s="34"/>
      <c r="J273" s="34"/>
      <c r="K273" s="32"/>
      <c r="L273" s="32"/>
      <c r="M273" s="47"/>
    </row>
    <row r="274" customFormat="false" ht="15" hidden="false" customHeight="false" outlineLevel="0" collapsed="false">
      <c r="A274" s="35" t="str">
        <f aca="false">IF(E274="","","BUG-"&amp;TEXT(ROW()-5,"000"))</f>
        <v/>
      </c>
      <c r="B274" s="46"/>
      <c r="C274" s="32"/>
      <c r="D274" s="32"/>
      <c r="E274" s="32"/>
      <c r="F274" s="32"/>
      <c r="G274" s="32"/>
      <c r="H274" s="32"/>
      <c r="I274" s="34"/>
      <c r="J274" s="34"/>
      <c r="K274" s="32"/>
      <c r="L274" s="32"/>
      <c r="M274" s="47"/>
    </row>
    <row r="275" customFormat="false" ht="15" hidden="false" customHeight="false" outlineLevel="0" collapsed="false">
      <c r="A275" s="35" t="str">
        <f aca="false">IF(E275="","","BUG-"&amp;TEXT(ROW()-5,"000"))</f>
        <v/>
      </c>
      <c r="B275" s="46"/>
      <c r="C275" s="32"/>
      <c r="D275" s="32"/>
      <c r="E275" s="32"/>
      <c r="F275" s="32"/>
      <c r="G275" s="32"/>
      <c r="H275" s="32"/>
      <c r="I275" s="34"/>
      <c r="J275" s="34"/>
      <c r="K275" s="32"/>
      <c r="L275" s="32"/>
      <c r="M275" s="47"/>
    </row>
    <row r="276" customFormat="false" ht="15" hidden="false" customHeight="false" outlineLevel="0" collapsed="false">
      <c r="A276" s="35" t="str">
        <f aca="false">IF(E276="","","BUG-"&amp;TEXT(ROW()-5,"000"))</f>
        <v/>
      </c>
      <c r="B276" s="46"/>
      <c r="C276" s="32"/>
      <c r="D276" s="32"/>
      <c r="E276" s="32"/>
      <c r="F276" s="32"/>
      <c r="G276" s="32"/>
      <c r="H276" s="32"/>
      <c r="I276" s="34"/>
      <c r="J276" s="34"/>
      <c r="K276" s="32"/>
      <c r="L276" s="32"/>
      <c r="M276" s="47"/>
    </row>
    <row r="277" customFormat="false" ht="15" hidden="false" customHeight="false" outlineLevel="0" collapsed="false">
      <c r="A277" s="35" t="str">
        <f aca="false">IF(E277="","","BUG-"&amp;TEXT(ROW()-5,"000"))</f>
        <v/>
      </c>
      <c r="B277" s="46"/>
      <c r="C277" s="32"/>
      <c r="D277" s="32"/>
      <c r="E277" s="32"/>
      <c r="F277" s="32"/>
      <c r="G277" s="32"/>
      <c r="H277" s="32"/>
      <c r="I277" s="34"/>
      <c r="J277" s="34"/>
      <c r="K277" s="32"/>
      <c r="L277" s="32"/>
      <c r="M277" s="47"/>
    </row>
    <row r="278" customFormat="false" ht="15" hidden="false" customHeight="false" outlineLevel="0" collapsed="false">
      <c r="A278" s="35" t="str">
        <f aca="false">IF(E278="","","BUG-"&amp;TEXT(ROW()-5,"000"))</f>
        <v/>
      </c>
      <c r="B278" s="46"/>
      <c r="C278" s="32"/>
      <c r="D278" s="32"/>
      <c r="E278" s="32"/>
      <c r="F278" s="32"/>
      <c r="G278" s="32"/>
      <c r="H278" s="32"/>
      <c r="I278" s="34"/>
      <c r="J278" s="34"/>
      <c r="K278" s="32"/>
      <c r="L278" s="32"/>
      <c r="M278" s="47"/>
    </row>
    <row r="279" customFormat="false" ht="15" hidden="false" customHeight="false" outlineLevel="0" collapsed="false">
      <c r="A279" s="35" t="str">
        <f aca="false">IF(E279="","","BUG-"&amp;TEXT(ROW()-5,"000"))</f>
        <v/>
      </c>
      <c r="B279" s="46"/>
      <c r="C279" s="32"/>
      <c r="D279" s="32"/>
      <c r="E279" s="32"/>
      <c r="F279" s="32"/>
      <c r="G279" s="32"/>
      <c r="H279" s="32"/>
      <c r="I279" s="34"/>
      <c r="J279" s="34"/>
      <c r="K279" s="32"/>
      <c r="L279" s="32"/>
      <c r="M279" s="47"/>
    </row>
    <row r="280" customFormat="false" ht="15" hidden="false" customHeight="false" outlineLevel="0" collapsed="false">
      <c r="A280" s="35" t="str">
        <f aca="false">IF(E280="","","BUG-"&amp;TEXT(ROW()-5,"000"))</f>
        <v/>
      </c>
      <c r="B280" s="46"/>
      <c r="C280" s="32"/>
      <c r="D280" s="32"/>
      <c r="E280" s="32"/>
      <c r="F280" s="32"/>
      <c r="G280" s="32"/>
      <c r="H280" s="32"/>
      <c r="I280" s="34"/>
      <c r="J280" s="34"/>
      <c r="K280" s="32"/>
      <c r="L280" s="32"/>
      <c r="M280" s="47"/>
    </row>
    <row r="281" customFormat="false" ht="15" hidden="false" customHeight="false" outlineLevel="0" collapsed="false">
      <c r="A281" s="35" t="str">
        <f aca="false">IF(E281="","","BUG-"&amp;TEXT(ROW()-5,"000"))</f>
        <v/>
      </c>
      <c r="B281" s="46"/>
      <c r="C281" s="32"/>
      <c r="D281" s="32"/>
      <c r="E281" s="32"/>
      <c r="F281" s="32"/>
      <c r="G281" s="32"/>
      <c r="H281" s="32"/>
      <c r="I281" s="34"/>
      <c r="J281" s="34"/>
      <c r="K281" s="32"/>
      <c r="L281" s="32"/>
      <c r="M281" s="47"/>
    </row>
    <row r="282" customFormat="false" ht="15" hidden="false" customHeight="false" outlineLevel="0" collapsed="false">
      <c r="A282" s="35" t="str">
        <f aca="false">IF(E282="","","BUG-"&amp;TEXT(ROW()-5,"000"))</f>
        <v/>
      </c>
      <c r="B282" s="46"/>
      <c r="C282" s="32"/>
      <c r="D282" s="32"/>
      <c r="E282" s="32"/>
      <c r="F282" s="32"/>
      <c r="G282" s="32"/>
      <c r="H282" s="32"/>
      <c r="I282" s="34"/>
      <c r="J282" s="34"/>
      <c r="K282" s="32"/>
      <c r="L282" s="32"/>
      <c r="M282" s="47"/>
    </row>
    <row r="283" customFormat="false" ht="15" hidden="false" customHeight="false" outlineLevel="0" collapsed="false">
      <c r="A283" s="35" t="str">
        <f aca="false">IF(E283="","","BUG-"&amp;TEXT(ROW()-5,"000"))</f>
        <v/>
      </c>
      <c r="B283" s="46"/>
      <c r="C283" s="32"/>
      <c r="D283" s="32"/>
      <c r="E283" s="32"/>
      <c r="F283" s="32"/>
      <c r="G283" s="32"/>
      <c r="H283" s="32"/>
      <c r="I283" s="34"/>
      <c r="J283" s="34"/>
      <c r="K283" s="32"/>
      <c r="L283" s="32"/>
      <c r="M283" s="47"/>
    </row>
    <row r="284" customFormat="false" ht="15" hidden="false" customHeight="false" outlineLevel="0" collapsed="false">
      <c r="A284" s="35" t="str">
        <f aca="false">IF(E284="","","BUG-"&amp;TEXT(ROW()-5,"000"))</f>
        <v/>
      </c>
      <c r="B284" s="46"/>
      <c r="C284" s="32"/>
      <c r="D284" s="32"/>
      <c r="E284" s="32"/>
      <c r="F284" s="32"/>
      <c r="G284" s="32"/>
      <c r="H284" s="32"/>
      <c r="I284" s="34"/>
      <c r="J284" s="34"/>
      <c r="K284" s="32"/>
      <c r="L284" s="32"/>
      <c r="M284" s="47"/>
    </row>
    <row r="285" customFormat="false" ht="15" hidden="false" customHeight="false" outlineLevel="0" collapsed="false">
      <c r="A285" s="35" t="str">
        <f aca="false">IF(E285="","","BUG-"&amp;TEXT(ROW()-5,"000"))</f>
        <v/>
      </c>
      <c r="B285" s="46"/>
      <c r="C285" s="32"/>
      <c r="D285" s="32"/>
      <c r="E285" s="32"/>
      <c r="F285" s="32"/>
      <c r="G285" s="32"/>
      <c r="H285" s="32"/>
      <c r="I285" s="34"/>
      <c r="J285" s="34"/>
      <c r="K285" s="32"/>
      <c r="L285" s="32"/>
      <c r="M285" s="47"/>
    </row>
    <row r="286" customFormat="false" ht="15" hidden="false" customHeight="false" outlineLevel="0" collapsed="false">
      <c r="A286" s="35" t="str">
        <f aca="false">IF(E286="","","BUG-"&amp;TEXT(ROW()-5,"000"))</f>
        <v/>
      </c>
      <c r="B286" s="46"/>
      <c r="C286" s="32"/>
      <c r="D286" s="32"/>
      <c r="E286" s="32"/>
      <c r="F286" s="32"/>
      <c r="G286" s="32"/>
      <c r="H286" s="32"/>
      <c r="I286" s="34"/>
      <c r="J286" s="34"/>
      <c r="K286" s="32"/>
      <c r="L286" s="32"/>
      <c r="M286" s="47"/>
    </row>
    <row r="287" customFormat="false" ht="15" hidden="false" customHeight="false" outlineLevel="0" collapsed="false">
      <c r="A287" s="35" t="str">
        <f aca="false">IF(E287="","","BUG-"&amp;TEXT(ROW()-5,"000"))</f>
        <v/>
      </c>
      <c r="B287" s="46"/>
      <c r="C287" s="32"/>
      <c r="D287" s="32"/>
      <c r="E287" s="32"/>
      <c r="F287" s="32"/>
      <c r="G287" s="32"/>
      <c r="H287" s="32"/>
      <c r="I287" s="34"/>
      <c r="J287" s="34"/>
      <c r="K287" s="32"/>
      <c r="L287" s="32"/>
      <c r="M287" s="47"/>
    </row>
    <row r="288" customFormat="false" ht="15" hidden="false" customHeight="false" outlineLevel="0" collapsed="false">
      <c r="A288" s="35" t="str">
        <f aca="false">IF(E288="","","BUG-"&amp;TEXT(ROW()-5,"000"))</f>
        <v/>
      </c>
      <c r="B288" s="46"/>
      <c r="C288" s="32"/>
      <c r="D288" s="32"/>
      <c r="E288" s="32"/>
      <c r="F288" s="32"/>
      <c r="G288" s="32"/>
      <c r="H288" s="32"/>
      <c r="I288" s="34"/>
      <c r="J288" s="34"/>
      <c r="K288" s="32"/>
      <c r="L288" s="32"/>
      <c r="M288" s="47"/>
    </row>
    <row r="289" customFormat="false" ht="15" hidden="false" customHeight="false" outlineLevel="0" collapsed="false">
      <c r="A289" s="35" t="str">
        <f aca="false">IF(E289="","","BUG-"&amp;TEXT(ROW()-5,"000"))</f>
        <v/>
      </c>
      <c r="B289" s="46"/>
      <c r="C289" s="32"/>
      <c r="D289" s="32"/>
      <c r="E289" s="32"/>
      <c r="F289" s="32"/>
      <c r="G289" s="32"/>
      <c r="H289" s="32"/>
      <c r="I289" s="34"/>
      <c r="J289" s="34"/>
      <c r="K289" s="32"/>
      <c r="L289" s="32"/>
      <c r="M289" s="47"/>
    </row>
    <row r="290" customFormat="false" ht="15" hidden="false" customHeight="false" outlineLevel="0" collapsed="false">
      <c r="A290" s="35" t="str">
        <f aca="false">IF(E290="","","BUG-"&amp;TEXT(ROW()-5,"000"))</f>
        <v/>
      </c>
      <c r="B290" s="46"/>
      <c r="C290" s="32"/>
      <c r="D290" s="32"/>
      <c r="E290" s="32"/>
      <c r="F290" s="32"/>
      <c r="G290" s="32"/>
      <c r="H290" s="32"/>
      <c r="I290" s="34"/>
      <c r="J290" s="34"/>
      <c r="K290" s="32"/>
      <c r="L290" s="32"/>
      <c r="M290" s="47"/>
    </row>
    <row r="291" customFormat="false" ht="15" hidden="false" customHeight="false" outlineLevel="0" collapsed="false">
      <c r="A291" s="35" t="str">
        <f aca="false">IF(E291="","","BUG-"&amp;TEXT(ROW()-5,"000"))</f>
        <v/>
      </c>
      <c r="B291" s="46"/>
      <c r="C291" s="32"/>
      <c r="D291" s="32"/>
      <c r="E291" s="32"/>
      <c r="F291" s="32"/>
      <c r="G291" s="32"/>
      <c r="H291" s="32"/>
      <c r="I291" s="34"/>
      <c r="J291" s="34"/>
      <c r="K291" s="32"/>
      <c r="L291" s="32"/>
      <c r="M291" s="47"/>
    </row>
    <row r="292" customFormat="false" ht="15" hidden="false" customHeight="false" outlineLevel="0" collapsed="false">
      <c r="A292" s="35" t="str">
        <f aca="false">IF(E292="","","BUG-"&amp;TEXT(ROW()-5,"000"))</f>
        <v/>
      </c>
      <c r="B292" s="46"/>
      <c r="C292" s="32"/>
      <c r="D292" s="32"/>
      <c r="E292" s="32"/>
      <c r="F292" s="32"/>
      <c r="G292" s="32"/>
      <c r="H292" s="32"/>
      <c r="I292" s="34"/>
      <c r="J292" s="34"/>
      <c r="K292" s="32"/>
      <c r="L292" s="32"/>
      <c r="M292" s="47"/>
    </row>
    <row r="293" customFormat="false" ht="15" hidden="false" customHeight="false" outlineLevel="0" collapsed="false">
      <c r="A293" s="35" t="str">
        <f aca="false">IF(E293="","","BUG-"&amp;TEXT(ROW()-5,"000"))</f>
        <v/>
      </c>
      <c r="B293" s="46"/>
      <c r="C293" s="32"/>
      <c r="D293" s="32"/>
      <c r="E293" s="32"/>
      <c r="F293" s="32"/>
      <c r="G293" s="32"/>
      <c r="H293" s="32"/>
      <c r="I293" s="34"/>
      <c r="J293" s="34"/>
      <c r="K293" s="32"/>
      <c r="L293" s="32"/>
      <c r="M293" s="47"/>
    </row>
    <row r="294" customFormat="false" ht="15" hidden="false" customHeight="false" outlineLevel="0" collapsed="false">
      <c r="A294" s="35" t="str">
        <f aca="false">IF(E294="","","BUG-"&amp;TEXT(ROW()-5,"000"))</f>
        <v/>
      </c>
      <c r="B294" s="46"/>
      <c r="C294" s="32"/>
      <c r="D294" s="32"/>
      <c r="E294" s="32"/>
      <c r="F294" s="32"/>
      <c r="G294" s="32"/>
      <c r="H294" s="32"/>
      <c r="I294" s="34"/>
      <c r="J294" s="34"/>
      <c r="K294" s="32"/>
      <c r="L294" s="32"/>
      <c r="M294" s="47"/>
    </row>
    <row r="295" customFormat="false" ht="15" hidden="false" customHeight="false" outlineLevel="0" collapsed="false">
      <c r="A295" s="35" t="str">
        <f aca="false">IF(E295="","","BUG-"&amp;TEXT(ROW()-5,"000"))</f>
        <v/>
      </c>
      <c r="B295" s="46"/>
      <c r="C295" s="32"/>
      <c r="D295" s="32"/>
      <c r="E295" s="32"/>
      <c r="F295" s="32"/>
      <c r="G295" s="32"/>
      <c r="H295" s="32"/>
      <c r="I295" s="34"/>
      <c r="J295" s="34"/>
      <c r="K295" s="32"/>
      <c r="L295" s="32"/>
      <c r="M295" s="47"/>
    </row>
    <row r="296" customFormat="false" ht="15" hidden="false" customHeight="false" outlineLevel="0" collapsed="false">
      <c r="A296" s="35" t="str">
        <f aca="false">IF(E296="","","BUG-"&amp;TEXT(ROW()-5,"000"))</f>
        <v/>
      </c>
      <c r="B296" s="46"/>
      <c r="C296" s="32"/>
      <c r="D296" s="32"/>
      <c r="E296" s="32"/>
      <c r="F296" s="32"/>
      <c r="G296" s="32"/>
      <c r="H296" s="32"/>
      <c r="I296" s="34"/>
      <c r="J296" s="34"/>
      <c r="K296" s="32"/>
      <c r="L296" s="32"/>
      <c r="M296" s="47"/>
    </row>
    <row r="297" customFormat="false" ht="15" hidden="false" customHeight="false" outlineLevel="0" collapsed="false">
      <c r="A297" s="35" t="str">
        <f aca="false">IF(E297="","","BUG-"&amp;TEXT(ROW()-5,"000"))</f>
        <v/>
      </c>
      <c r="B297" s="46"/>
      <c r="C297" s="32"/>
      <c r="D297" s="32"/>
      <c r="E297" s="32"/>
      <c r="F297" s="32"/>
      <c r="G297" s="32"/>
      <c r="H297" s="32"/>
      <c r="I297" s="34"/>
      <c r="J297" s="34"/>
      <c r="K297" s="32"/>
      <c r="L297" s="32"/>
      <c r="M297" s="47"/>
    </row>
    <row r="298" customFormat="false" ht="15" hidden="false" customHeight="false" outlineLevel="0" collapsed="false">
      <c r="A298" s="35" t="str">
        <f aca="false">IF(E298="","","BUG-"&amp;TEXT(ROW()-5,"000"))</f>
        <v/>
      </c>
      <c r="B298" s="46"/>
      <c r="C298" s="32"/>
      <c r="D298" s="32"/>
      <c r="E298" s="32"/>
      <c r="F298" s="32"/>
      <c r="G298" s="32"/>
      <c r="H298" s="32"/>
      <c r="I298" s="34"/>
      <c r="J298" s="34"/>
      <c r="K298" s="32"/>
      <c r="L298" s="32"/>
      <c r="M298" s="47"/>
    </row>
    <row r="299" customFormat="false" ht="15" hidden="false" customHeight="false" outlineLevel="0" collapsed="false">
      <c r="A299" s="35" t="str">
        <f aca="false">IF(E299="","","BUG-"&amp;TEXT(ROW()-5,"000"))</f>
        <v/>
      </c>
      <c r="B299" s="46"/>
      <c r="C299" s="32"/>
      <c r="D299" s="32"/>
      <c r="E299" s="32"/>
      <c r="F299" s="32"/>
      <c r="G299" s="32"/>
      <c r="H299" s="32"/>
      <c r="I299" s="34"/>
      <c r="J299" s="34"/>
      <c r="K299" s="32"/>
      <c r="L299" s="32"/>
      <c r="M299" s="47"/>
    </row>
    <row r="300" customFormat="false" ht="15" hidden="false" customHeight="false" outlineLevel="0" collapsed="false">
      <c r="A300" s="35" t="str">
        <f aca="false">IF(E300="","","BUG-"&amp;TEXT(ROW()-5,"000"))</f>
        <v/>
      </c>
      <c r="B300" s="46"/>
      <c r="C300" s="32"/>
      <c r="D300" s="32"/>
      <c r="E300" s="32"/>
      <c r="F300" s="32"/>
      <c r="G300" s="32"/>
      <c r="H300" s="32"/>
      <c r="I300" s="34"/>
      <c r="J300" s="34"/>
      <c r="K300" s="32"/>
      <c r="L300" s="32"/>
      <c r="M300" s="47"/>
    </row>
    <row r="301" customFormat="false" ht="15" hidden="false" customHeight="false" outlineLevel="0" collapsed="false">
      <c r="A301" s="35" t="str">
        <f aca="false">IF(E301="","","BUG-"&amp;TEXT(ROW()-5,"000"))</f>
        <v/>
      </c>
      <c r="B301" s="46"/>
      <c r="C301" s="32"/>
      <c r="D301" s="32"/>
      <c r="E301" s="32"/>
      <c r="F301" s="32"/>
      <c r="G301" s="32"/>
      <c r="H301" s="32"/>
      <c r="I301" s="34"/>
      <c r="J301" s="34"/>
      <c r="K301" s="32"/>
      <c r="L301" s="32"/>
      <c r="M301" s="47"/>
    </row>
    <row r="302" customFormat="false" ht="15" hidden="false" customHeight="false" outlineLevel="0" collapsed="false">
      <c r="A302" s="35" t="str">
        <f aca="false">IF(E302="","","BUG-"&amp;TEXT(ROW()-5,"000"))</f>
        <v/>
      </c>
      <c r="B302" s="46"/>
      <c r="C302" s="32"/>
      <c r="D302" s="32"/>
      <c r="E302" s="32"/>
      <c r="F302" s="32"/>
      <c r="G302" s="32"/>
      <c r="H302" s="32"/>
      <c r="I302" s="34"/>
      <c r="J302" s="34"/>
      <c r="K302" s="32"/>
      <c r="L302" s="32"/>
      <c r="M302" s="47"/>
    </row>
    <row r="303" customFormat="false" ht="15" hidden="false" customHeight="false" outlineLevel="0" collapsed="false">
      <c r="A303" s="35" t="str">
        <f aca="false">IF(E303="","","BUG-"&amp;TEXT(ROW()-5,"000"))</f>
        <v/>
      </c>
      <c r="B303" s="46"/>
      <c r="C303" s="32"/>
      <c r="D303" s="32"/>
      <c r="E303" s="32"/>
      <c r="F303" s="32"/>
      <c r="G303" s="32"/>
      <c r="H303" s="32"/>
      <c r="I303" s="34"/>
      <c r="J303" s="34"/>
      <c r="K303" s="32"/>
      <c r="L303" s="32"/>
      <c r="M303" s="47"/>
    </row>
    <row r="304" customFormat="false" ht="15" hidden="false" customHeight="false" outlineLevel="0" collapsed="false">
      <c r="A304" s="35" t="str">
        <f aca="false">IF(E304="","","BUG-"&amp;TEXT(ROW()-5,"000"))</f>
        <v/>
      </c>
      <c r="B304" s="46"/>
      <c r="C304" s="32"/>
      <c r="D304" s="32"/>
      <c r="E304" s="32"/>
      <c r="F304" s="32"/>
      <c r="G304" s="32"/>
      <c r="H304" s="32"/>
      <c r="I304" s="34"/>
      <c r="J304" s="34"/>
      <c r="K304" s="32"/>
      <c r="L304" s="32"/>
      <c r="M304" s="47"/>
    </row>
    <row r="305" customFormat="false" ht="15" hidden="false" customHeight="false" outlineLevel="0" collapsed="false">
      <c r="A305" s="35" t="str">
        <f aca="false">IF(E305="","","BUG-"&amp;TEXT(ROW()-5,"000"))</f>
        <v/>
      </c>
      <c r="B305" s="46"/>
      <c r="C305" s="32"/>
      <c r="D305" s="32"/>
      <c r="E305" s="32"/>
      <c r="F305" s="32"/>
      <c r="G305" s="32"/>
      <c r="H305" s="32"/>
      <c r="I305" s="34"/>
      <c r="J305" s="34"/>
      <c r="K305" s="32"/>
      <c r="L305" s="32"/>
      <c r="M305" s="47"/>
    </row>
  </sheetData>
  <autoFilter ref="A4:M305"/>
  <mergeCells count="2">
    <mergeCell ref="A1:M1"/>
    <mergeCell ref="A2:M2"/>
  </mergeCells>
  <conditionalFormatting sqref="I6:I305">
    <cfRule type="expression" priority="2" aboveAverage="0" equalAverage="0" bottom="0" percent="0" rank="0" text="" dxfId="17">
      <formula>$I6="Blocker"</formula>
    </cfRule>
    <cfRule type="expression" priority="3" aboveAverage="0" equalAverage="0" bottom="0" percent="0" rank="0" text="" dxfId="18">
      <formula>$I6="Major"</formula>
    </cfRule>
    <cfRule type="expression" priority="4" aboveAverage="0" equalAverage="0" bottom="0" percent="0" rank="0" text="" dxfId="13">
      <formula>$I6="Minor"</formula>
    </cfRule>
    <cfRule type="expression" priority="5" aboveAverage="0" equalAverage="0" bottom="0" percent="0" rank="0" text="" dxfId="19">
      <formula>$I6="Cosmetic"</formula>
    </cfRule>
  </conditionalFormatting>
  <conditionalFormatting sqref="J6:J305">
    <cfRule type="expression" priority="6" aboveAverage="0" equalAverage="0" bottom="0" percent="0" rank="0" text="" dxfId="13">
      <formula>$J6="New"</formula>
    </cfRule>
    <cfRule type="expression" priority="7" aboveAverage="0" equalAverage="0" bottom="0" percent="0" rank="0" text="" dxfId="20">
      <formula>$J6="Seen"</formula>
    </cfRule>
    <cfRule type="expression" priority="8" aboveAverage="0" equalAverage="0" bottom="0" percent="0" rank="0" text="" dxfId="21">
      <formula>$J6="Fixed"</formula>
    </cfRule>
    <cfRule type="expression" priority="9" aboveAverage="0" equalAverage="0" bottom="0" percent="0" rank="0" text="" dxfId="14">
      <formula>$J6="Closed"</formula>
    </cfRule>
    <cfRule type="expression" priority="10" aboveAverage="0" equalAverage="0" bottom="0" percent="0" rank="0" text="" dxfId="15">
      <formula>$J6="Reopened"</formula>
    </cfRule>
    <cfRule type="expression" priority="11" aboveAverage="0" equalAverage="0" bottom="0" percent="0" rank="0" text="" dxfId="16">
      <formula>$J6="Duplicate"</formula>
    </cfRule>
  </conditionalFormatting>
  <conditionalFormatting sqref="A6:A305">
    <cfRule type="expression" priority="12" aboveAverage="0" equalAverage="0" bottom="0" percent="0" rank="0" text="" dxfId="22">
      <formula>$I6="Blocker"</formula>
    </cfRule>
    <cfRule type="expression" priority="13" aboveAverage="0" equalAverage="0" bottom="0" percent="0" rank="0" text="" dxfId="23">
      <formula>$I6="Major"</formula>
    </cfRule>
  </conditionalFormatting>
  <dataValidations count="4">
    <dataValidation allowBlank="true" error="Type a date such as 21-Oct-2026." errorStyle="stop" errorTitle="Not a date" operator="greaterThan" prompt="Type like 21-Oct-2026 or press Ctrl + ; for today." promptTitle="Date" showDropDown="false" showErrorMessage="true" showInputMessage="true" sqref="B6:B305" type="date">
      <formula1>43831</formula1>
      <formula2>0</formula2>
    </dataValidation>
    <dataValidation allowBlank="true" error="Please choose one of the options in the dropdown." errorStyle="stop" errorTitle="Pick from the list" operator="between" prompt="Pick your name." promptTitle="Reporter" showDropDown="false" showErrorMessage="false" showInputMessage="true" sqref="C6:C305" type="list">
      <formula1>'READ ME'!$C$51:$C$58</formula1>
      <formula2>0</formula2>
    </dataValidation>
    <dataValidation allowBlank="true" error="Please choose one of the options in the dropdown." errorStyle="stop" errorTitle="Pick from the list" operator="between" prompt="Blocker: cannot continue / money figure wrong / private data exposed. Major: feature fails, workaround exists. Minor: small glitch. Cosmetic: looks wrong." promptTitle="Severity" showDropDown="false" showErrorMessage="true" showInputMessage="true" sqref="I6:I305" type="list">
      <formula1>Lists!$B$2:$B$5</formula1>
      <formula2>0</formula2>
    </dataValidation>
    <dataValidation allowBlank="true" error="Please choose one of the options in the dropdown." errorStyle="stop" errorTitle="Pick from the list" operator="between" prompt="Testers use New and, after a retest, Closed or Reopened. The lead sets Seen, Fixed and Duplicate." promptTitle="Status" showDropDown="false" showErrorMessage="true" showInputMessage="true" sqref="J6:J305" type="list">
      <formula1>Lists!$C$2:$C$7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3E0C"/>
    <pageSetUpPr fitToPage="true"/>
  </sheetPr>
  <dimension ref="A1:H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36"/>
    <col collapsed="false" customWidth="true" hidden="false" outlineLevel="0" max="6" min="6" style="0" width="34"/>
    <col collapsed="false" customWidth="true" hidden="false" outlineLevel="0" max="7" min="7" style="0" width="11"/>
    <col collapsed="false" customWidth="true" hidden="false" outlineLevel="0" max="8" min="8" style="0" width="28"/>
  </cols>
  <sheetData>
    <row r="1" customFormat="false" ht="30" hidden="false" customHeight="true" outlineLevel="0" collapsed="false">
      <c r="A1" s="1" t="s">
        <v>370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371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28" t="s">
        <v>105</v>
      </c>
      <c r="B4" s="28" t="s">
        <v>106</v>
      </c>
      <c r="C4" s="28" t="s">
        <v>372</v>
      </c>
      <c r="D4" s="28" t="s">
        <v>373</v>
      </c>
      <c r="E4" s="28" t="s">
        <v>374</v>
      </c>
      <c r="F4" s="28" t="s">
        <v>375</v>
      </c>
      <c r="G4" s="28" t="s">
        <v>376</v>
      </c>
      <c r="H4" s="28" t="s">
        <v>360</v>
      </c>
    </row>
    <row r="5" customFormat="false" ht="36" hidden="false" customHeight="true" outlineLevel="0" collapsed="false">
      <c r="A5" s="29" t="s">
        <v>113</v>
      </c>
      <c r="B5" s="30" t="s">
        <v>114</v>
      </c>
      <c r="C5" s="30" t="s">
        <v>377</v>
      </c>
      <c r="D5" s="30" t="s">
        <v>378</v>
      </c>
      <c r="E5" s="30" t="s">
        <v>379</v>
      </c>
      <c r="F5" s="30" t="s">
        <v>380</v>
      </c>
      <c r="G5" s="30" t="s">
        <v>381</v>
      </c>
      <c r="H5" s="30"/>
    </row>
    <row r="6" customFormat="false" ht="15" hidden="false" customHeight="false" outlineLevel="0" collapsed="false">
      <c r="A6" s="31"/>
      <c r="B6" s="32"/>
      <c r="C6" s="32"/>
      <c r="D6" s="32"/>
      <c r="E6" s="32"/>
      <c r="F6" s="32"/>
      <c r="G6" s="34"/>
      <c r="H6" s="47"/>
    </row>
    <row r="7" customFormat="false" ht="15" hidden="false" customHeight="false" outlineLevel="0" collapsed="false">
      <c r="A7" s="31"/>
      <c r="B7" s="32"/>
      <c r="C7" s="32"/>
      <c r="D7" s="32"/>
      <c r="E7" s="32"/>
      <c r="F7" s="32"/>
      <c r="G7" s="34"/>
      <c r="H7" s="47"/>
    </row>
    <row r="8" customFormat="false" ht="15" hidden="false" customHeight="false" outlineLevel="0" collapsed="false">
      <c r="A8" s="31"/>
      <c r="B8" s="32"/>
      <c r="C8" s="32"/>
      <c r="D8" s="32"/>
      <c r="E8" s="32"/>
      <c r="F8" s="32"/>
      <c r="G8" s="34"/>
      <c r="H8" s="47"/>
    </row>
    <row r="9" customFormat="false" ht="15" hidden="false" customHeight="false" outlineLevel="0" collapsed="false">
      <c r="A9" s="31"/>
      <c r="B9" s="32"/>
      <c r="C9" s="32"/>
      <c r="D9" s="32"/>
      <c r="E9" s="32"/>
      <c r="F9" s="32"/>
      <c r="G9" s="34"/>
      <c r="H9" s="47"/>
    </row>
    <row r="10" customFormat="false" ht="15" hidden="false" customHeight="false" outlineLevel="0" collapsed="false">
      <c r="A10" s="31"/>
      <c r="B10" s="32"/>
      <c r="C10" s="32"/>
      <c r="D10" s="32"/>
      <c r="E10" s="32"/>
      <c r="F10" s="32"/>
      <c r="G10" s="34"/>
      <c r="H10" s="47"/>
    </row>
    <row r="11" customFormat="false" ht="15" hidden="false" customHeight="false" outlineLevel="0" collapsed="false">
      <c r="A11" s="31"/>
      <c r="B11" s="32"/>
      <c r="C11" s="32"/>
      <c r="D11" s="32"/>
      <c r="E11" s="32"/>
      <c r="F11" s="32"/>
      <c r="G11" s="34"/>
      <c r="H11" s="47"/>
    </row>
    <row r="12" customFormat="false" ht="15" hidden="false" customHeight="false" outlineLevel="0" collapsed="false">
      <c r="A12" s="31"/>
      <c r="B12" s="32"/>
      <c r="C12" s="32"/>
      <c r="D12" s="32"/>
      <c r="E12" s="32"/>
      <c r="F12" s="32"/>
      <c r="G12" s="34"/>
      <c r="H12" s="47"/>
    </row>
    <row r="13" customFormat="false" ht="15" hidden="false" customHeight="false" outlineLevel="0" collapsed="false">
      <c r="A13" s="31"/>
      <c r="B13" s="32"/>
      <c r="C13" s="32"/>
      <c r="D13" s="32"/>
      <c r="E13" s="32"/>
      <c r="F13" s="32"/>
      <c r="G13" s="34"/>
      <c r="H13" s="47"/>
    </row>
    <row r="14" customFormat="false" ht="15" hidden="false" customHeight="false" outlineLevel="0" collapsed="false">
      <c r="A14" s="31"/>
      <c r="B14" s="32"/>
      <c r="C14" s="32"/>
      <c r="D14" s="32"/>
      <c r="E14" s="32"/>
      <c r="F14" s="32"/>
      <c r="G14" s="34"/>
      <c r="H14" s="47"/>
    </row>
    <row r="15" customFormat="false" ht="15" hidden="false" customHeight="false" outlineLevel="0" collapsed="false">
      <c r="A15" s="31"/>
      <c r="B15" s="32"/>
      <c r="C15" s="32"/>
      <c r="D15" s="32"/>
      <c r="E15" s="32"/>
      <c r="F15" s="32"/>
      <c r="G15" s="34"/>
      <c r="H15" s="47"/>
    </row>
    <row r="16" customFormat="false" ht="15" hidden="false" customHeight="false" outlineLevel="0" collapsed="false">
      <c r="A16" s="31"/>
      <c r="B16" s="32"/>
      <c r="C16" s="32"/>
      <c r="D16" s="32"/>
      <c r="E16" s="32"/>
      <c r="F16" s="32"/>
      <c r="G16" s="34"/>
      <c r="H16" s="47"/>
    </row>
    <row r="17" customFormat="false" ht="15" hidden="false" customHeight="false" outlineLevel="0" collapsed="false">
      <c r="A17" s="31"/>
      <c r="B17" s="32"/>
      <c r="C17" s="32"/>
      <c r="D17" s="32"/>
      <c r="E17" s="32"/>
      <c r="F17" s="32"/>
      <c r="G17" s="34"/>
      <c r="H17" s="47"/>
    </row>
    <row r="18" customFormat="false" ht="15" hidden="false" customHeight="false" outlineLevel="0" collapsed="false">
      <c r="A18" s="31"/>
      <c r="B18" s="32"/>
      <c r="C18" s="32"/>
      <c r="D18" s="32"/>
      <c r="E18" s="32"/>
      <c r="F18" s="32"/>
      <c r="G18" s="34"/>
      <c r="H18" s="47"/>
    </row>
    <row r="19" customFormat="false" ht="15" hidden="false" customHeight="false" outlineLevel="0" collapsed="false">
      <c r="A19" s="31"/>
      <c r="B19" s="32"/>
      <c r="C19" s="32"/>
      <c r="D19" s="32"/>
      <c r="E19" s="32"/>
      <c r="F19" s="32"/>
      <c r="G19" s="34"/>
      <c r="H19" s="47"/>
    </row>
    <row r="20" customFormat="false" ht="15" hidden="false" customHeight="false" outlineLevel="0" collapsed="false">
      <c r="A20" s="31"/>
      <c r="B20" s="32"/>
      <c r="C20" s="32"/>
      <c r="D20" s="32"/>
      <c r="E20" s="32"/>
      <c r="F20" s="32"/>
      <c r="G20" s="34"/>
      <c r="H20" s="47"/>
    </row>
    <row r="21" customFormat="false" ht="15" hidden="false" customHeight="false" outlineLevel="0" collapsed="false">
      <c r="A21" s="31"/>
      <c r="B21" s="32"/>
      <c r="C21" s="32"/>
      <c r="D21" s="32"/>
      <c r="E21" s="32"/>
      <c r="F21" s="32"/>
      <c r="G21" s="34"/>
      <c r="H21" s="47"/>
    </row>
    <row r="22" customFormat="false" ht="15" hidden="false" customHeight="false" outlineLevel="0" collapsed="false">
      <c r="A22" s="31"/>
      <c r="B22" s="32"/>
      <c r="C22" s="32"/>
      <c r="D22" s="32"/>
      <c r="E22" s="32"/>
      <c r="F22" s="32"/>
      <c r="G22" s="34"/>
      <c r="H22" s="47"/>
    </row>
    <row r="23" customFormat="false" ht="15" hidden="false" customHeight="false" outlineLevel="0" collapsed="false">
      <c r="A23" s="31"/>
      <c r="B23" s="32"/>
      <c r="C23" s="32"/>
      <c r="D23" s="32"/>
      <c r="E23" s="32"/>
      <c r="F23" s="32"/>
      <c r="G23" s="34"/>
      <c r="H23" s="47"/>
    </row>
    <row r="24" customFormat="false" ht="15" hidden="false" customHeight="false" outlineLevel="0" collapsed="false">
      <c r="A24" s="31"/>
      <c r="B24" s="32"/>
      <c r="C24" s="32"/>
      <c r="D24" s="32"/>
      <c r="E24" s="32"/>
      <c r="F24" s="32"/>
      <c r="G24" s="34"/>
      <c r="H24" s="47"/>
    </row>
    <row r="25" customFormat="false" ht="15" hidden="false" customHeight="false" outlineLevel="0" collapsed="false">
      <c r="A25" s="31"/>
      <c r="B25" s="32"/>
      <c r="C25" s="32"/>
      <c r="D25" s="32"/>
      <c r="E25" s="32"/>
      <c r="F25" s="32"/>
      <c r="G25" s="34"/>
      <c r="H25" s="47"/>
    </row>
    <row r="26" customFormat="false" ht="15" hidden="false" customHeight="false" outlineLevel="0" collapsed="false">
      <c r="A26" s="31"/>
      <c r="B26" s="32"/>
      <c r="C26" s="32"/>
      <c r="D26" s="32"/>
      <c r="E26" s="32"/>
      <c r="F26" s="32"/>
      <c r="G26" s="34"/>
      <c r="H26" s="47"/>
    </row>
    <row r="27" customFormat="false" ht="15" hidden="false" customHeight="false" outlineLevel="0" collapsed="false">
      <c r="A27" s="31"/>
      <c r="B27" s="32"/>
      <c r="C27" s="32"/>
      <c r="D27" s="32"/>
      <c r="E27" s="32"/>
      <c r="F27" s="32"/>
      <c r="G27" s="34"/>
      <c r="H27" s="47"/>
    </row>
    <row r="28" customFormat="false" ht="15" hidden="false" customHeight="false" outlineLevel="0" collapsed="false">
      <c r="A28" s="31"/>
      <c r="B28" s="32"/>
      <c r="C28" s="32"/>
      <c r="D28" s="32"/>
      <c r="E28" s="32"/>
      <c r="F28" s="32"/>
      <c r="G28" s="34"/>
      <c r="H28" s="47"/>
    </row>
    <row r="29" customFormat="false" ht="15" hidden="false" customHeight="false" outlineLevel="0" collapsed="false">
      <c r="A29" s="31"/>
      <c r="B29" s="32"/>
      <c r="C29" s="32"/>
      <c r="D29" s="32"/>
      <c r="E29" s="32"/>
      <c r="F29" s="32"/>
      <c r="G29" s="34"/>
      <c r="H29" s="47"/>
    </row>
    <row r="30" customFormat="false" ht="15" hidden="false" customHeight="false" outlineLevel="0" collapsed="false">
      <c r="A30" s="31"/>
      <c r="B30" s="32"/>
      <c r="C30" s="32"/>
      <c r="D30" s="32"/>
      <c r="E30" s="32"/>
      <c r="F30" s="32"/>
      <c r="G30" s="34"/>
      <c r="H30" s="47"/>
    </row>
    <row r="31" customFormat="false" ht="15" hidden="false" customHeight="false" outlineLevel="0" collapsed="false">
      <c r="A31" s="31"/>
      <c r="B31" s="32"/>
      <c r="C31" s="32"/>
      <c r="D31" s="32"/>
      <c r="E31" s="32"/>
      <c r="F31" s="32"/>
      <c r="G31" s="34"/>
      <c r="H31" s="47"/>
    </row>
    <row r="32" customFormat="false" ht="15" hidden="false" customHeight="false" outlineLevel="0" collapsed="false">
      <c r="A32" s="31"/>
      <c r="B32" s="32"/>
      <c r="C32" s="32"/>
      <c r="D32" s="32"/>
      <c r="E32" s="32"/>
      <c r="F32" s="32"/>
      <c r="G32" s="34"/>
      <c r="H32" s="47"/>
    </row>
    <row r="33" customFormat="false" ht="15" hidden="false" customHeight="false" outlineLevel="0" collapsed="false">
      <c r="A33" s="31"/>
      <c r="B33" s="32"/>
      <c r="C33" s="32"/>
      <c r="D33" s="32"/>
      <c r="E33" s="32"/>
      <c r="F33" s="32"/>
      <c r="G33" s="34"/>
      <c r="H33" s="47"/>
    </row>
    <row r="34" customFormat="false" ht="15" hidden="false" customHeight="false" outlineLevel="0" collapsed="false">
      <c r="A34" s="31"/>
      <c r="B34" s="32"/>
      <c r="C34" s="32"/>
      <c r="D34" s="32"/>
      <c r="E34" s="32"/>
      <c r="F34" s="32"/>
      <c r="G34" s="34"/>
      <c r="H34" s="47"/>
    </row>
    <row r="35" customFormat="false" ht="15" hidden="false" customHeight="false" outlineLevel="0" collapsed="false">
      <c r="A35" s="31"/>
      <c r="B35" s="32"/>
      <c r="C35" s="32"/>
      <c r="D35" s="32"/>
      <c r="E35" s="32"/>
      <c r="F35" s="32"/>
      <c r="G35" s="34"/>
      <c r="H35" s="47"/>
    </row>
    <row r="36" customFormat="false" ht="15" hidden="false" customHeight="false" outlineLevel="0" collapsed="false">
      <c r="A36" s="31"/>
      <c r="B36" s="32"/>
      <c r="C36" s="32"/>
      <c r="D36" s="32"/>
      <c r="E36" s="32"/>
      <c r="F36" s="32"/>
      <c r="G36" s="34"/>
      <c r="H36" s="47"/>
    </row>
    <row r="37" customFormat="false" ht="15" hidden="false" customHeight="false" outlineLevel="0" collapsed="false">
      <c r="A37" s="31"/>
      <c r="B37" s="32"/>
      <c r="C37" s="32"/>
      <c r="D37" s="32"/>
      <c r="E37" s="32"/>
      <c r="F37" s="32"/>
      <c r="G37" s="34"/>
      <c r="H37" s="47"/>
    </row>
    <row r="38" customFormat="false" ht="15" hidden="false" customHeight="false" outlineLevel="0" collapsed="false">
      <c r="A38" s="31"/>
      <c r="B38" s="32"/>
      <c r="C38" s="32"/>
      <c r="D38" s="32"/>
      <c r="E38" s="32"/>
      <c r="F38" s="32"/>
      <c r="G38" s="34"/>
      <c r="H38" s="47"/>
    </row>
    <row r="39" customFormat="false" ht="15" hidden="false" customHeight="false" outlineLevel="0" collapsed="false">
      <c r="A39" s="31"/>
      <c r="B39" s="32"/>
      <c r="C39" s="32"/>
      <c r="D39" s="32"/>
      <c r="E39" s="32"/>
      <c r="F39" s="32"/>
      <c r="G39" s="34"/>
      <c r="H39" s="47"/>
    </row>
    <row r="40" customFormat="false" ht="15" hidden="false" customHeight="false" outlineLevel="0" collapsed="false">
      <c r="A40" s="31"/>
      <c r="B40" s="32"/>
      <c r="C40" s="32"/>
      <c r="D40" s="32"/>
      <c r="E40" s="32"/>
      <c r="F40" s="32"/>
      <c r="G40" s="34"/>
      <c r="H40" s="47"/>
    </row>
    <row r="41" customFormat="false" ht="15" hidden="false" customHeight="false" outlineLevel="0" collapsed="false">
      <c r="A41" s="31"/>
      <c r="B41" s="32"/>
      <c r="C41" s="32"/>
      <c r="D41" s="32"/>
      <c r="E41" s="32"/>
      <c r="F41" s="32"/>
      <c r="G41" s="34"/>
      <c r="H41" s="47"/>
    </row>
    <row r="42" customFormat="false" ht="15" hidden="false" customHeight="false" outlineLevel="0" collapsed="false">
      <c r="A42" s="31"/>
      <c r="B42" s="32"/>
      <c r="C42" s="32"/>
      <c r="D42" s="32"/>
      <c r="E42" s="32"/>
      <c r="F42" s="32"/>
      <c r="G42" s="34"/>
      <c r="H42" s="47"/>
    </row>
    <row r="43" customFormat="false" ht="15" hidden="false" customHeight="false" outlineLevel="0" collapsed="false">
      <c r="A43" s="31"/>
      <c r="B43" s="32"/>
      <c r="C43" s="32"/>
      <c r="D43" s="32"/>
      <c r="E43" s="32"/>
      <c r="F43" s="32"/>
      <c r="G43" s="34"/>
      <c r="H43" s="47"/>
    </row>
    <row r="44" customFormat="false" ht="15" hidden="false" customHeight="false" outlineLevel="0" collapsed="false">
      <c r="A44" s="31"/>
      <c r="B44" s="32"/>
      <c r="C44" s="32"/>
      <c r="D44" s="32"/>
      <c r="E44" s="32"/>
      <c r="F44" s="32"/>
      <c r="G44" s="34"/>
      <c r="H44" s="47"/>
    </row>
    <row r="45" customFormat="false" ht="15" hidden="false" customHeight="false" outlineLevel="0" collapsed="false">
      <c r="A45" s="31"/>
      <c r="B45" s="32"/>
      <c r="C45" s="32"/>
      <c r="D45" s="32"/>
      <c r="E45" s="32"/>
      <c r="F45" s="32"/>
      <c r="G45" s="34"/>
      <c r="H45" s="47"/>
    </row>
    <row r="46" customFormat="false" ht="15" hidden="false" customHeight="false" outlineLevel="0" collapsed="false">
      <c r="A46" s="31"/>
      <c r="B46" s="32"/>
      <c r="C46" s="32"/>
      <c r="D46" s="32"/>
      <c r="E46" s="32"/>
      <c r="F46" s="32"/>
      <c r="G46" s="34"/>
      <c r="H46" s="47"/>
    </row>
    <row r="47" customFormat="false" ht="15" hidden="false" customHeight="false" outlineLevel="0" collapsed="false">
      <c r="A47" s="31"/>
      <c r="B47" s="32"/>
      <c r="C47" s="32"/>
      <c r="D47" s="32"/>
      <c r="E47" s="32"/>
      <c r="F47" s="32"/>
      <c r="G47" s="34"/>
      <c r="H47" s="47"/>
    </row>
    <row r="48" customFormat="false" ht="15" hidden="false" customHeight="false" outlineLevel="0" collapsed="false">
      <c r="A48" s="31"/>
      <c r="B48" s="32"/>
      <c r="C48" s="32"/>
      <c r="D48" s="32"/>
      <c r="E48" s="32"/>
      <c r="F48" s="32"/>
      <c r="G48" s="34"/>
      <c r="H48" s="47"/>
    </row>
    <row r="49" customFormat="false" ht="15" hidden="false" customHeight="false" outlineLevel="0" collapsed="false">
      <c r="A49" s="31"/>
      <c r="B49" s="32"/>
      <c r="C49" s="32"/>
      <c r="D49" s="32"/>
      <c r="E49" s="32"/>
      <c r="F49" s="32"/>
      <c r="G49" s="34"/>
      <c r="H49" s="47"/>
    </row>
    <row r="50" customFormat="false" ht="15" hidden="false" customHeight="false" outlineLevel="0" collapsed="false">
      <c r="A50" s="31"/>
      <c r="B50" s="32"/>
      <c r="C50" s="32"/>
      <c r="D50" s="32"/>
      <c r="E50" s="32"/>
      <c r="F50" s="32"/>
      <c r="G50" s="34"/>
      <c r="H50" s="47"/>
    </row>
    <row r="51" customFormat="false" ht="15" hidden="false" customHeight="false" outlineLevel="0" collapsed="false">
      <c r="A51" s="31"/>
      <c r="B51" s="32"/>
      <c r="C51" s="32"/>
      <c r="D51" s="32"/>
      <c r="E51" s="32"/>
      <c r="F51" s="32"/>
      <c r="G51" s="34"/>
      <c r="H51" s="47"/>
    </row>
    <row r="52" customFormat="false" ht="15" hidden="false" customHeight="false" outlineLevel="0" collapsed="false">
      <c r="A52" s="31"/>
      <c r="B52" s="32"/>
      <c r="C52" s="32"/>
      <c r="D52" s="32"/>
      <c r="E52" s="32"/>
      <c r="F52" s="32"/>
      <c r="G52" s="34"/>
      <c r="H52" s="47"/>
    </row>
    <row r="53" customFormat="false" ht="15" hidden="false" customHeight="false" outlineLevel="0" collapsed="false">
      <c r="A53" s="31"/>
      <c r="B53" s="32"/>
      <c r="C53" s="32"/>
      <c r="D53" s="32"/>
      <c r="E53" s="32"/>
      <c r="F53" s="32"/>
      <c r="G53" s="34"/>
      <c r="H53" s="47"/>
    </row>
    <row r="54" customFormat="false" ht="15" hidden="false" customHeight="false" outlineLevel="0" collapsed="false">
      <c r="A54" s="31"/>
      <c r="B54" s="32"/>
      <c r="C54" s="32"/>
      <c r="D54" s="32"/>
      <c r="E54" s="32"/>
      <c r="F54" s="32"/>
      <c r="G54" s="34"/>
      <c r="H54" s="47"/>
    </row>
    <row r="55" customFormat="false" ht="15" hidden="false" customHeight="false" outlineLevel="0" collapsed="false">
      <c r="A55" s="31"/>
      <c r="B55" s="32"/>
      <c r="C55" s="32"/>
      <c r="D55" s="32"/>
      <c r="E55" s="32"/>
      <c r="F55" s="32"/>
      <c r="G55" s="34"/>
      <c r="H55" s="47"/>
    </row>
    <row r="56" customFormat="false" ht="15" hidden="false" customHeight="false" outlineLevel="0" collapsed="false">
      <c r="A56" s="31"/>
      <c r="B56" s="32"/>
      <c r="C56" s="32"/>
      <c r="D56" s="32"/>
      <c r="E56" s="32"/>
      <c r="F56" s="32"/>
      <c r="G56" s="34"/>
      <c r="H56" s="47"/>
    </row>
    <row r="57" customFormat="false" ht="15" hidden="false" customHeight="false" outlineLevel="0" collapsed="false">
      <c r="A57" s="31"/>
      <c r="B57" s="32"/>
      <c r="C57" s="32"/>
      <c r="D57" s="32"/>
      <c r="E57" s="32"/>
      <c r="F57" s="32"/>
      <c r="G57" s="34"/>
      <c r="H57" s="47"/>
    </row>
    <row r="58" customFormat="false" ht="15" hidden="false" customHeight="false" outlineLevel="0" collapsed="false">
      <c r="A58" s="31"/>
      <c r="B58" s="32"/>
      <c r="C58" s="32"/>
      <c r="D58" s="32"/>
      <c r="E58" s="32"/>
      <c r="F58" s="32"/>
      <c r="G58" s="34"/>
      <c r="H58" s="47"/>
    </row>
    <row r="59" customFormat="false" ht="15" hidden="false" customHeight="false" outlineLevel="0" collapsed="false">
      <c r="A59" s="31"/>
      <c r="B59" s="32"/>
      <c r="C59" s="32"/>
      <c r="D59" s="32"/>
      <c r="E59" s="32"/>
      <c r="F59" s="32"/>
      <c r="G59" s="34"/>
      <c r="H59" s="47"/>
    </row>
    <row r="60" customFormat="false" ht="15" hidden="false" customHeight="false" outlineLevel="0" collapsed="false">
      <c r="A60" s="31"/>
      <c r="B60" s="32"/>
      <c r="C60" s="32"/>
      <c r="D60" s="32"/>
      <c r="E60" s="32"/>
      <c r="F60" s="32"/>
      <c r="G60" s="34"/>
      <c r="H60" s="47"/>
    </row>
    <row r="61" customFormat="false" ht="15" hidden="false" customHeight="false" outlineLevel="0" collapsed="false">
      <c r="A61" s="31"/>
      <c r="B61" s="32"/>
      <c r="C61" s="32"/>
      <c r="D61" s="32"/>
      <c r="E61" s="32"/>
      <c r="F61" s="32"/>
      <c r="G61" s="34"/>
      <c r="H61" s="47"/>
    </row>
    <row r="62" customFormat="false" ht="15" hidden="false" customHeight="false" outlineLevel="0" collapsed="false">
      <c r="A62" s="31"/>
      <c r="B62" s="32"/>
      <c r="C62" s="32"/>
      <c r="D62" s="32"/>
      <c r="E62" s="32"/>
      <c r="F62" s="32"/>
      <c r="G62" s="34"/>
      <c r="H62" s="47"/>
    </row>
    <row r="63" customFormat="false" ht="15" hidden="false" customHeight="false" outlineLevel="0" collapsed="false">
      <c r="A63" s="31"/>
      <c r="B63" s="32"/>
      <c r="C63" s="32"/>
      <c r="D63" s="32"/>
      <c r="E63" s="32"/>
      <c r="F63" s="32"/>
      <c r="G63" s="34"/>
      <c r="H63" s="47"/>
    </row>
    <row r="64" customFormat="false" ht="15" hidden="false" customHeight="false" outlineLevel="0" collapsed="false">
      <c r="A64" s="31"/>
      <c r="B64" s="32"/>
      <c r="C64" s="32"/>
      <c r="D64" s="32"/>
      <c r="E64" s="32"/>
      <c r="F64" s="32"/>
      <c r="G64" s="34"/>
      <c r="H64" s="47"/>
    </row>
    <row r="65" customFormat="false" ht="15" hidden="false" customHeight="false" outlineLevel="0" collapsed="false">
      <c r="A65" s="31"/>
      <c r="B65" s="32"/>
      <c r="C65" s="32"/>
      <c r="D65" s="32"/>
      <c r="E65" s="32"/>
      <c r="F65" s="32"/>
      <c r="G65" s="34"/>
      <c r="H65" s="47"/>
    </row>
    <row r="66" customFormat="false" ht="15" hidden="false" customHeight="false" outlineLevel="0" collapsed="false">
      <c r="A66" s="31"/>
      <c r="B66" s="32"/>
      <c r="C66" s="32"/>
      <c r="D66" s="32"/>
      <c r="E66" s="32"/>
      <c r="F66" s="32"/>
      <c r="G66" s="34"/>
      <c r="H66" s="47"/>
    </row>
    <row r="67" customFormat="false" ht="15" hidden="false" customHeight="false" outlineLevel="0" collapsed="false">
      <c r="A67" s="31"/>
      <c r="B67" s="32"/>
      <c r="C67" s="32"/>
      <c r="D67" s="32"/>
      <c r="E67" s="32"/>
      <c r="F67" s="32"/>
      <c r="G67" s="34"/>
      <c r="H67" s="47"/>
    </row>
    <row r="68" customFormat="false" ht="15" hidden="false" customHeight="false" outlineLevel="0" collapsed="false">
      <c r="A68" s="31"/>
      <c r="B68" s="32"/>
      <c r="C68" s="32"/>
      <c r="D68" s="32"/>
      <c r="E68" s="32"/>
      <c r="F68" s="32"/>
      <c r="G68" s="34"/>
      <c r="H68" s="47"/>
    </row>
    <row r="69" customFormat="false" ht="15" hidden="false" customHeight="false" outlineLevel="0" collapsed="false">
      <c r="A69" s="31"/>
      <c r="B69" s="32"/>
      <c r="C69" s="32"/>
      <c r="D69" s="32"/>
      <c r="E69" s="32"/>
      <c r="F69" s="32"/>
      <c r="G69" s="34"/>
      <c r="H69" s="47"/>
    </row>
    <row r="70" customFormat="false" ht="15" hidden="false" customHeight="false" outlineLevel="0" collapsed="false">
      <c r="A70" s="31"/>
      <c r="B70" s="32"/>
      <c r="C70" s="32"/>
      <c r="D70" s="32"/>
      <c r="E70" s="32"/>
      <c r="F70" s="32"/>
      <c r="G70" s="34"/>
      <c r="H70" s="47"/>
    </row>
    <row r="71" customFormat="false" ht="15" hidden="false" customHeight="false" outlineLevel="0" collapsed="false">
      <c r="A71" s="31"/>
      <c r="B71" s="32"/>
      <c r="C71" s="32"/>
      <c r="D71" s="32"/>
      <c r="E71" s="32"/>
      <c r="F71" s="32"/>
      <c r="G71" s="34"/>
      <c r="H71" s="47"/>
    </row>
    <row r="72" customFormat="false" ht="15" hidden="false" customHeight="false" outlineLevel="0" collapsed="false">
      <c r="A72" s="31"/>
      <c r="B72" s="32"/>
      <c r="C72" s="32"/>
      <c r="D72" s="32"/>
      <c r="E72" s="32"/>
      <c r="F72" s="32"/>
      <c r="G72" s="34"/>
      <c r="H72" s="47"/>
    </row>
    <row r="73" customFormat="false" ht="15" hidden="false" customHeight="false" outlineLevel="0" collapsed="false">
      <c r="A73" s="31"/>
      <c r="B73" s="32"/>
      <c r="C73" s="32"/>
      <c r="D73" s="32"/>
      <c r="E73" s="32"/>
      <c r="F73" s="32"/>
      <c r="G73" s="34"/>
      <c r="H73" s="47"/>
    </row>
    <row r="74" customFormat="false" ht="15" hidden="false" customHeight="false" outlineLevel="0" collapsed="false">
      <c r="A74" s="31"/>
      <c r="B74" s="32"/>
      <c r="C74" s="32"/>
      <c r="D74" s="32"/>
      <c r="E74" s="32"/>
      <c r="F74" s="32"/>
      <c r="G74" s="34"/>
      <c r="H74" s="47"/>
    </row>
    <row r="75" customFormat="false" ht="15" hidden="false" customHeight="false" outlineLevel="0" collapsed="false">
      <c r="A75" s="31"/>
      <c r="B75" s="32"/>
      <c r="C75" s="32"/>
      <c r="D75" s="32"/>
      <c r="E75" s="32"/>
      <c r="F75" s="32"/>
      <c r="G75" s="34"/>
      <c r="H75" s="47"/>
    </row>
    <row r="76" customFormat="false" ht="15" hidden="false" customHeight="false" outlineLevel="0" collapsed="false">
      <c r="A76" s="31"/>
      <c r="B76" s="32"/>
      <c r="C76" s="32"/>
      <c r="D76" s="32"/>
      <c r="E76" s="32"/>
      <c r="F76" s="32"/>
      <c r="G76" s="34"/>
      <c r="H76" s="47"/>
    </row>
    <row r="77" customFormat="false" ht="15" hidden="false" customHeight="false" outlineLevel="0" collapsed="false">
      <c r="A77" s="31"/>
      <c r="B77" s="32"/>
      <c r="C77" s="32"/>
      <c r="D77" s="32"/>
      <c r="E77" s="32"/>
      <c r="F77" s="32"/>
      <c r="G77" s="34"/>
      <c r="H77" s="47"/>
    </row>
    <row r="78" customFormat="false" ht="15" hidden="false" customHeight="false" outlineLevel="0" collapsed="false">
      <c r="A78" s="31"/>
      <c r="B78" s="32"/>
      <c r="C78" s="32"/>
      <c r="D78" s="32"/>
      <c r="E78" s="32"/>
      <c r="F78" s="32"/>
      <c r="G78" s="34"/>
      <c r="H78" s="47"/>
    </row>
    <row r="79" customFormat="false" ht="15" hidden="false" customHeight="false" outlineLevel="0" collapsed="false">
      <c r="A79" s="31"/>
      <c r="B79" s="32"/>
      <c r="C79" s="32"/>
      <c r="D79" s="32"/>
      <c r="E79" s="32"/>
      <c r="F79" s="32"/>
      <c r="G79" s="34"/>
      <c r="H79" s="47"/>
    </row>
    <row r="80" customFormat="false" ht="15" hidden="false" customHeight="false" outlineLevel="0" collapsed="false">
      <c r="A80" s="31"/>
      <c r="B80" s="32"/>
      <c r="C80" s="32"/>
      <c r="D80" s="32"/>
      <c r="E80" s="32"/>
      <c r="F80" s="32"/>
      <c r="G80" s="34"/>
      <c r="H80" s="47"/>
    </row>
    <row r="81" customFormat="false" ht="15" hidden="false" customHeight="false" outlineLevel="0" collapsed="false">
      <c r="A81" s="31"/>
      <c r="B81" s="32"/>
      <c r="C81" s="32"/>
      <c r="D81" s="32"/>
      <c r="E81" s="32"/>
      <c r="F81" s="32"/>
      <c r="G81" s="34"/>
      <c r="H81" s="47"/>
    </row>
    <row r="82" customFormat="false" ht="15" hidden="false" customHeight="false" outlineLevel="0" collapsed="false">
      <c r="A82" s="31"/>
      <c r="B82" s="32"/>
      <c r="C82" s="32"/>
      <c r="D82" s="32"/>
      <c r="E82" s="32"/>
      <c r="F82" s="32"/>
      <c r="G82" s="34"/>
      <c r="H82" s="47"/>
    </row>
    <row r="83" customFormat="false" ht="15" hidden="false" customHeight="false" outlineLevel="0" collapsed="false">
      <c r="A83" s="31"/>
      <c r="B83" s="32"/>
      <c r="C83" s="32"/>
      <c r="D83" s="32"/>
      <c r="E83" s="32"/>
      <c r="F83" s="32"/>
      <c r="G83" s="34"/>
      <c r="H83" s="47"/>
    </row>
    <row r="84" customFormat="false" ht="15" hidden="false" customHeight="false" outlineLevel="0" collapsed="false">
      <c r="A84" s="31"/>
      <c r="B84" s="32"/>
      <c r="C84" s="32"/>
      <c r="D84" s="32"/>
      <c r="E84" s="32"/>
      <c r="F84" s="32"/>
      <c r="G84" s="34"/>
      <c r="H84" s="47"/>
    </row>
    <row r="85" customFormat="false" ht="15" hidden="false" customHeight="false" outlineLevel="0" collapsed="false">
      <c r="A85" s="31"/>
      <c r="B85" s="32"/>
      <c r="C85" s="32"/>
      <c r="D85" s="32"/>
      <c r="E85" s="32"/>
      <c r="F85" s="32"/>
      <c r="G85" s="34"/>
      <c r="H85" s="47"/>
    </row>
    <row r="86" customFormat="false" ht="15" hidden="false" customHeight="false" outlineLevel="0" collapsed="false">
      <c r="A86" s="31"/>
      <c r="B86" s="32"/>
      <c r="C86" s="32"/>
      <c r="D86" s="32"/>
      <c r="E86" s="32"/>
      <c r="F86" s="32"/>
      <c r="G86" s="34"/>
      <c r="H86" s="47"/>
    </row>
    <row r="87" customFormat="false" ht="15" hidden="false" customHeight="false" outlineLevel="0" collapsed="false">
      <c r="A87" s="31"/>
      <c r="B87" s="32"/>
      <c r="C87" s="32"/>
      <c r="D87" s="32"/>
      <c r="E87" s="32"/>
      <c r="F87" s="32"/>
      <c r="G87" s="34"/>
      <c r="H87" s="47"/>
    </row>
    <row r="88" customFormat="false" ht="15" hidden="false" customHeight="false" outlineLevel="0" collapsed="false">
      <c r="A88" s="31"/>
      <c r="B88" s="32"/>
      <c r="C88" s="32"/>
      <c r="D88" s="32"/>
      <c r="E88" s="32"/>
      <c r="F88" s="32"/>
      <c r="G88" s="34"/>
      <c r="H88" s="47"/>
    </row>
    <row r="89" customFormat="false" ht="15" hidden="false" customHeight="false" outlineLevel="0" collapsed="false">
      <c r="A89" s="31"/>
      <c r="B89" s="32"/>
      <c r="C89" s="32"/>
      <c r="D89" s="32"/>
      <c r="E89" s="32"/>
      <c r="F89" s="32"/>
      <c r="G89" s="34"/>
      <c r="H89" s="47"/>
    </row>
    <row r="90" customFormat="false" ht="15" hidden="false" customHeight="false" outlineLevel="0" collapsed="false">
      <c r="A90" s="31"/>
      <c r="B90" s="32"/>
      <c r="C90" s="32"/>
      <c r="D90" s="32"/>
      <c r="E90" s="32"/>
      <c r="F90" s="32"/>
      <c r="G90" s="34"/>
      <c r="H90" s="47"/>
    </row>
    <row r="91" customFormat="false" ht="15" hidden="false" customHeight="false" outlineLevel="0" collapsed="false">
      <c r="A91" s="31"/>
      <c r="B91" s="32"/>
      <c r="C91" s="32"/>
      <c r="D91" s="32"/>
      <c r="E91" s="32"/>
      <c r="F91" s="32"/>
      <c r="G91" s="34"/>
      <c r="H91" s="47"/>
    </row>
    <row r="92" customFormat="false" ht="15" hidden="false" customHeight="false" outlineLevel="0" collapsed="false">
      <c r="A92" s="31"/>
      <c r="B92" s="32"/>
      <c r="C92" s="32"/>
      <c r="D92" s="32"/>
      <c r="E92" s="32"/>
      <c r="F92" s="32"/>
      <c r="G92" s="34"/>
      <c r="H92" s="47"/>
    </row>
    <row r="93" customFormat="false" ht="15" hidden="false" customHeight="false" outlineLevel="0" collapsed="false">
      <c r="A93" s="31"/>
      <c r="B93" s="32"/>
      <c r="C93" s="32"/>
      <c r="D93" s="32"/>
      <c r="E93" s="32"/>
      <c r="F93" s="32"/>
      <c r="G93" s="34"/>
      <c r="H93" s="47"/>
    </row>
    <row r="94" customFormat="false" ht="15" hidden="false" customHeight="false" outlineLevel="0" collapsed="false">
      <c r="A94" s="31"/>
      <c r="B94" s="32"/>
      <c r="C94" s="32"/>
      <c r="D94" s="32"/>
      <c r="E94" s="32"/>
      <c r="F94" s="32"/>
      <c r="G94" s="34"/>
      <c r="H94" s="47"/>
    </row>
    <row r="95" customFormat="false" ht="15" hidden="false" customHeight="false" outlineLevel="0" collapsed="false">
      <c r="A95" s="31"/>
      <c r="B95" s="32"/>
      <c r="C95" s="32"/>
      <c r="D95" s="32"/>
      <c r="E95" s="32"/>
      <c r="F95" s="32"/>
      <c r="G95" s="34"/>
      <c r="H95" s="47"/>
    </row>
    <row r="96" customFormat="false" ht="15" hidden="false" customHeight="false" outlineLevel="0" collapsed="false">
      <c r="A96" s="31"/>
      <c r="B96" s="32"/>
      <c r="C96" s="32"/>
      <c r="D96" s="32"/>
      <c r="E96" s="32"/>
      <c r="F96" s="32"/>
      <c r="G96" s="34"/>
      <c r="H96" s="47"/>
    </row>
    <row r="97" customFormat="false" ht="15" hidden="false" customHeight="false" outlineLevel="0" collapsed="false">
      <c r="A97" s="31"/>
      <c r="B97" s="32"/>
      <c r="C97" s="32"/>
      <c r="D97" s="32"/>
      <c r="E97" s="32"/>
      <c r="F97" s="32"/>
      <c r="G97" s="34"/>
      <c r="H97" s="47"/>
    </row>
    <row r="98" customFormat="false" ht="15" hidden="false" customHeight="false" outlineLevel="0" collapsed="false">
      <c r="A98" s="31"/>
      <c r="B98" s="32"/>
      <c r="C98" s="32"/>
      <c r="D98" s="32"/>
      <c r="E98" s="32"/>
      <c r="F98" s="32"/>
      <c r="G98" s="34"/>
      <c r="H98" s="47"/>
    </row>
    <row r="99" customFormat="false" ht="15" hidden="false" customHeight="false" outlineLevel="0" collapsed="false">
      <c r="A99" s="31"/>
      <c r="B99" s="32"/>
      <c r="C99" s="32"/>
      <c r="D99" s="32"/>
      <c r="E99" s="32"/>
      <c r="F99" s="32"/>
      <c r="G99" s="34"/>
      <c r="H99" s="47"/>
    </row>
    <row r="100" customFormat="false" ht="15" hidden="false" customHeight="false" outlineLevel="0" collapsed="false">
      <c r="A100" s="31"/>
      <c r="B100" s="32"/>
      <c r="C100" s="32"/>
      <c r="D100" s="32"/>
      <c r="E100" s="32"/>
      <c r="F100" s="32"/>
      <c r="G100" s="34"/>
      <c r="H100" s="47"/>
    </row>
    <row r="101" customFormat="false" ht="15" hidden="false" customHeight="false" outlineLevel="0" collapsed="false">
      <c r="A101" s="31"/>
      <c r="B101" s="32"/>
      <c r="C101" s="32"/>
      <c r="D101" s="32"/>
      <c r="E101" s="32"/>
      <c r="F101" s="32"/>
      <c r="G101" s="34"/>
      <c r="H101" s="47"/>
    </row>
    <row r="102" customFormat="false" ht="15" hidden="false" customHeight="false" outlineLevel="0" collapsed="false">
      <c r="A102" s="31"/>
      <c r="B102" s="32"/>
      <c r="C102" s="32"/>
      <c r="D102" s="32"/>
      <c r="E102" s="32"/>
      <c r="F102" s="32"/>
      <c r="G102" s="34"/>
      <c r="H102" s="47"/>
    </row>
    <row r="103" customFormat="false" ht="15" hidden="false" customHeight="false" outlineLevel="0" collapsed="false">
      <c r="A103" s="31"/>
      <c r="B103" s="32"/>
      <c r="C103" s="32"/>
      <c r="D103" s="32"/>
      <c r="E103" s="32"/>
      <c r="F103" s="32"/>
      <c r="G103" s="34"/>
      <c r="H103" s="47"/>
    </row>
    <row r="104" customFormat="false" ht="15" hidden="false" customHeight="false" outlineLevel="0" collapsed="false">
      <c r="A104" s="31"/>
      <c r="B104" s="32"/>
      <c r="C104" s="32"/>
      <c r="D104" s="32"/>
      <c r="E104" s="32"/>
      <c r="F104" s="32"/>
      <c r="G104" s="34"/>
      <c r="H104" s="47"/>
    </row>
    <row r="105" customFormat="false" ht="15" hidden="false" customHeight="false" outlineLevel="0" collapsed="false">
      <c r="A105" s="31"/>
      <c r="B105" s="32"/>
      <c r="C105" s="32"/>
      <c r="D105" s="32"/>
      <c r="E105" s="32"/>
      <c r="F105" s="32"/>
      <c r="G105" s="34"/>
      <c r="H105" s="47"/>
    </row>
    <row r="106" customFormat="false" ht="15" hidden="false" customHeight="false" outlineLevel="0" collapsed="false">
      <c r="A106" s="31"/>
      <c r="B106" s="32"/>
      <c r="C106" s="32"/>
      <c r="D106" s="32"/>
      <c r="E106" s="32"/>
      <c r="F106" s="32"/>
      <c r="G106" s="34"/>
      <c r="H106" s="47"/>
    </row>
    <row r="107" customFormat="false" ht="15" hidden="false" customHeight="false" outlineLevel="0" collapsed="false">
      <c r="A107" s="31"/>
      <c r="B107" s="32"/>
      <c r="C107" s="32"/>
      <c r="D107" s="32"/>
      <c r="E107" s="32"/>
      <c r="F107" s="32"/>
      <c r="G107" s="34"/>
      <c r="H107" s="47"/>
    </row>
    <row r="108" customFormat="false" ht="15" hidden="false" customHeight="false" outlineLevel="0" collapsed="false">
      <c r="A108" s="31"/>
      <c r="B108" s="32"/>
      <c r="C108" s="32"/>
      <c r="D108" s="32"/>
      <c r="E108" s="32"/>
      <c r="F108" s="32"/>
      <c r="G108" s="34"/>
      <c r="H108" s="47"/>
    </row>
    <row r="109" customFormat="false" ht="15" hidden="false" customHeight="false" outlineLevel="0" collapsed="false">
      <c r="A109" s="31"/>
      <c r="B109" s="32"/>
      <c r="C109" s="32"/>
      <c r="D109" s="32"/>
      <c r="E109" s="32"/>
      <c r="F109" s="32"/>
      <c r="G109" s="34"/>
      <c r="H109" s="47"/>
    </row>
    <row r="110" customFormat="false" ht="15" hidden="false" customHeight="false" outlineLevel="0" collapsed="false">
      <c r="A110" s="31"/>
      <c r="B110" s="32"/>
      <c r="C110" s="32"/>
      <c r="D110" s="32"/>
      <c r="E110" s="32"/>
      <c r="F110" s="32"/>
      <c r="G110" s="34"/>
      <c r="H110" s="47"/>
    </row>
    <row r="111" customFormat="false" ht="15" hidden="false" customHeight="false" outlineLevel="0" collapsed="false">
      <c r="A111" s="31"/>
      <c r="B111" s="32"/>
      <c r="C111" s="32"/>
      <c r="D111" s="32"/>
      <c r="E111" s="32"/>
      <c r="F111" s="32"/>
      <c r="G111" s="34"/>
      <c r="H111" s="47"/>
    </row>
    <row r="112" customFormat="false" ht="15" hidden="false" customHeight="false" outlineLevel="0" collapsed="false">
      <c r="A112" s="31"/>
      <c r="B112" s="32"/>
      <c r="C112" s="32"/>
      <c r="D112" s="32"/>
      <c r="E112" s="32"/>
      <c r="F112" s="32"/>
      <c r="G112" s="34"/>
      <c r="H112" s="47"/>
    </row>
    <row r="113" customFormat="false" ht="15" hidden="false" customHeight="false" outlineLevel="0" collapsed="false">
      <c r="A113" s="31"/>
      <c r="B113" s="32"/>
      <c r="C113" s="32"/>
      <c r="D113" s="32"/>
      <c r="E113" s="32"/>
      <c r="F113" s="32"/>
      <c r="G113" s="34"/>
      <c r="H113" s="47"/>
    </row>
    <row r="114" customFormat="false" ht="15" hidden="false" customHeight="false" outlineLevel="0" collapsed="false">
      <c r="A114" s="31"/>
      <c r="B114" s="32"/>
      <c r="C114" s="32"/>
      <c r="D114" s="32"/>
      <c r="E114" s="32"/>
      <c r="F114" s="32"/>
      <c r="G114" s="34"/>
      <c r="H114" s="47"/>
    </row>
    <row r="115" customFormat="false" ht="15" hidden="false" customHeight="false" outlineLevel="0" collapsed="false">
      <c r="A115" s="31"/>
      <c r="B115" s="32"/>
      <c r="C115" s="32"/>
      <c r="D115" s="32"/>
      <c r="E115" s="32"/>
      <c r="F115" s="32"/>
      <c r="G115" s="34"/>
      <c r="H115" s="47"/>
    </row>
    <row r="116" customFormat="false" ht="15" hidden="false" customHeight="false" outlineLevel="0" collapsed="false">
      <c r="A116" s="31"/>
      <c r="B116" s="32"/>
      <c r="C116" s="32"/>
      <c r="D116" s="32"/>
      <c r="E116" s="32"/>
      <c r="F116" s="32"/>
      <c r="G116" s="34"/>
      <c r="H116" s="47"/>
    </row>
    <row r="117" customFormat="false" ht="15" hidden="false" customHeight="false" outlineLevel="0" collapsed="false">
      <c r="A117" s="31"/>
      <c r="B117" s="32"/>
      <c r="C117" s="32"/>
      <c r="D117" s="32"/>
      <c r="E117" s="32"/>
      <c r="F117" s="32"/>
      <c r="G117" s="34"/>
      <c r="H117" s="47"/>
    </row>
    <row r="118" customFormat="false" ht="15" hidden="false" customHeight="false" outlineLevel="0" collapsed="false">
      <c r="A118" s="31"/>
      <c r="B118" s="32"/>
      <c r="C118" s="32"/>
      <c r="D118" s="32"/>
      <c r="E118" s="32"/>
      <c r="F118" s="32"/>
      <c r="G118" s="34"/>
      <c r="H118" s="47"/>
    </row>
    <row r="119" customFormat="false" ht="15" hidden="false" customHeight="false" outlineLevel="0" collapsed="false">
      <c r="A119" s="31"/>
      <c r="B119" s="32"/>
      <c r="C119" s="32"/>
      <c r="D119" s="32"/>
      <c r="E119" s="32"/>
      <c r="F119" s="32"/>
      <c r="G119" s="34"/>
      <c r="H119" s="47"/>
    </row>
    <row r="120" customFormat="false" ht="15" hidden="false" customHeight="false" outlineLevel="0" collapsed="false">
      <c r="A120" s="31"/>
      <c r="B120" s="32"/>
      <c r="C120" s="32"/>
      <c r="D120" s="32"/>
      <c r="E120" s="32"/>
      <c r="F120" s="32"/>
      <c r="G120" s="34"/>
      <c r="H120" s="47"/>
    </row>
    <row r="121" customFormat="false" ht="15" hidden="false" customHeight="false" outlineLevel="0" collapsed="false">
      <c r="A121" s="31"/>
      <c r="B121" s="32"/>
      <c r="C121" s="32"/>
      <c r="D121" s="32"/>
      <c r="E121" s="32"/>
      <c r="F121" s="32"/>
      <c r="G121" s="34"/>
      <c r="H121" s="47"/>
    </row>
    <row r="122" customFormat="false" ht="15" hidden="false" customHeight="false" outlineLevel="0" collapsed="false">
      <c r="A122" s="31"/>
      <c r="B122" s="32"/>
      <c r="C122" s="32"/>
      <c r="D122" s="32"/>
      <c r="E122" s="32"/>
      <c r="F122" s="32"/>
      <c r="G122" s="34"/>
      <c r="H122" s="47"/>
    </row>
    <row r="123" customFormat="false" ht="15" hidden="false" customHeight="false" outlineLevel="0" collapsed="false">
      <c r="A123" s="31"/>
      <c r="B123" s="32"/>
      <c r="C123" s="32"/>
      <c r="D123" s="32"/>
      <c r="E123" s="32"/>
      <c r="F123" s="32"/>
      <c r="G123" s="34"/>
      <c r="H123" s="47"/>
    </row>
    <row r="124" customFormat="false" ht="15" hidden="false" customHeight="false" outlineLevel="0" collapsed="false">
      <c r="A124" s="31"/>
      <c r="B124" s="32"/>
      <c r="C124" s="32"/>
      <c r="D124" s="32"/>
      <c r="E124" s="32"/>
      <c r="F124" s="32"/>
      <c r="G124" s="34"/>
      <c r="H124" s="47"/>
    </row>
    <row r="125" customFormat="false" ht="15" hidden="false" customHeight="false" outlineLevel="0" collapsed="false">
      <c r="A125" s="31"/>
      <c r="B125" s="32"/>
      <c r="C125" s="32"/>
      <c r="D125" s="32"/>
      <c r="E125" s="32"/>
      <c r="F125" s="32"/>
      <c r="G125" s="34"/>
      <c r="H125" s="47"/>
    </row>
    <row r="126" customFormat="false" ht="15" hidden="false" customHeight="false" outlineLevel="0" collapsed="false">
      <c r="A126" s="31"/>
      <c r="B126" s="32"/>
      <c r="C126" s="32"/>
      <c r="D126" s="32"/>
      <c r="E126" s="32"/>
      <c r="F126" s="32"/>
      <c r="G126" s="34"/>
      <c r="H126" s="47"/>
    </row>
    <row r="127" customFormat="false" ht="15" hidden="false" customHeight="false" outlineLevel="0" collapsed="false">
      <c r="A127" s="31"/>
      <c r="B127" s="32"/>
      <c r="C127" s="32"/>
      <c r="D127" s="32"/>
      <c r="E127" s="32"/>
      <c r="F127" s="32"/>
      <c r="G127" s="34"/>
      <c r="H127" s="47"/>
    </row>
    <row r="128" customFormat="false" ht="15" hidden="false" customHeight="false" outlineLevel="0" collapsed="false">
      <c r="A128" s="31"/>
      <c r="B128" s="32"/>
      <c r="C128" s="32"/>
      <c r="D128" s="32"/>
      <c r="E128" s="32"/>
      <c r="F128" s="32"/>
      <c r="G128" s="34"/>
      <c r="H128" s="47"/>
    </row>
    <row r="129" customFormat="false" ht="15" hidden="false" customHeight="false" outlineLevel="0" collapsed="false">
      <c r="A129" s="31"/>
      <c r="B129" s="32"/>
      <c r="C129" s="32"/>
      <c r="D129" s="32"/>
      <c r="E129" s="32"/>
      <c r="F129" s="32"/>
      <c r="G129" s="34"/>
      <c r="H129" s="47"/>
    </row>
    <row r="130" customFormat="false" ht="15" hidden="false" customHeight="false" outlineLevel="0" collapsed="false">
      <c r="A130" s="31"/>
      <c r="B130" s="32"/>
      <c r="C130" s="32"/>
      <c r="D130" s="32"/>
      <c r="E130" s="32"/>
      <c r="F130" s="32"/>
      <c r="G130" s="34"/>
      <c r="H130" s="47"/>
    </row>
    <row r="131" customFormat="false" ht="15" hidden="false" customHeight="false" outlineLevel="0" collapsed="false">
      <c r="A131" s="31"/>
      <c r="B131" s="32"/>
      <c r="C131" s="32"/>
      <c r="D131" s="32"/>
      <c r="E131" s="32"/>
      <c r="F131" s="32"/>
      <c r="G131" s="34"/>
      <c r="H131" s="47"/>
    </row>
    <row r="132" customFormat="false" ht="15" hidden="false" customHeight="false" outlineLevel="0" collapsed="false">
      <c r="A132" s="31"/>
      <c r="B132" s="32"/>
      <c r="C132" s="32"/>
      <c r="D132" s="32"/>
      <c r="E132" s="32"/>
      <c r="F132" s="32"/>
      <c r="G132" s="34"/>
      <c r="H132" s="47"/>
    </row>
    <row r="133" customFormat="false" ht="15" hidden="false" customHeight="false" outlineLevel="0" collapsed="false">
      <c r="A133" s="31"/>
      <c r="B133" s="32"/>
      <c r="C133" s="32"/>
      <c r="D133" s="32"/>
      <c r="E133" s="32"/>
      <c r="F133" s="32"/>
      <c r="G133" s="34"/>
      <c r="H133" s="47"/>
    </row>
    <row r="134" customFormat="false" ht="15" hidden="false" customHeight="false" outlineLevel="0" collapsed="false">
      <c r="A134" s="31"/>
      <c r="B134" s="32"/>
      <c r="C134" s="32"/>
      <c r="D134" s="32"/>
      <c r="E134" s="32"/>
      <c r="F134" s="32"/>
      <c r="G134" s="34"/>
      <c r="H134" s="47"/>
    </row>
    <row r="135" customFormat="false" ht="15" hidden="false" customHeight="false" outlineLevel="0" collapsed="false">
      <c r="A135" s="31"/>
      <c r="B135" s="32"/>
      <c r="C135" s="32"/>
      <c r="D135" s="32"/>
      <c r="E135" s="32"/>
      <c r="F135" s="32"/>
      <c r="G135" s="34"/>
      <c r="H135" s="47"/>
    </row>
    <row r="136" customFormat="false" ht="15" hidden="false" customHeight="false" outlineLevel="0" collapsed="false">
      <c r="A136" s="31"/>
      <c r="B136" s="32"/>
      <c r="C136" s="32"/>
      <c r="D136" s="32"/>
      <c r="E136" s="32"/>
      <c r="F136" s="32"/>
      <c r="G136" s="34"/>
      <c r="H136" s="47"/>
    </row>
    <row r="137" customFormat="false" ht="15" hidden="false" customHeight="false" outlineLevel="0" collapsed="false">
      <c r="A137" s="31"/>
      <c r="B137" s="32"/>
      <c r="C137" s="32"/>
      <c r="D137" s="32"/>
      <c r="E137" s="32"/>
      <c r="F137" s="32"/>
      <c r="G137" s="34"/>
      <c r="H137" s="47"/>
    </row>
    <row r="138" customFormat="false" ht="15" hidden="false" customHeight="false" outlineLevel="0" collapsed="false">
      <c r="A138" s="31"/>
      <c r="B138" s="32"/>
      <c r="C138" s="32"/>
      <c r="D138" s="32"/>
      <c r="E138" s="32"/>
      <c r="F138" s="32"/>
      <c r="G138" s="34"/>
      <c r="H138" s="47"/>
    </row>
    <row r="139" customFormat="false" ht="15" hidden="false" customHeight="false" outlineLevel="0" collapsed="false">
      <c r="A139" s="31"/>
      <c r="B139" s="32"/>
      <c r="C139" s="32"/>
      <c r="D139" s="32"/>
      <c r="E139" s="32"/>
      <c r="F139" s="32"/>
      <c r="G139" s="34"/>
      <c r="H139" s="47"/>
    </row>
    <row r="140" customFormat="false" ht="15" hidden="false" customHeight="false" outlineLevel="0" collapsed="false">
      <c r="A140" s="31"/>
      <c r="B140" s="32"/>
      <c r="C140" s="32"/>
      <c r="D140" s="32"/>
      <c r="E140" s="32"/>
      <c r="F140" s="32"/>
      <c r="G140" s="34"/>
      <c r="H140" s="47"/>
    </row>
    <row r="141" customFormat="false" ht="15" hidden="false" customHeight="false" outlineLevel="0" collapsed="false">
      <c r="A141" s="31"/>
      <c r="B141" s="32"/>
      <c r="C141" s="32"/>
      <c r="D141" s="32"/>
      <c r="E141" s="32"/>
      <c r="F141" s="32"/>
      <c r="G141" s="34"/>
      <c r="H141" s="47"/>
    </row>
    <row r="142" customFormat="false" ht="15" hidden="false" customHeight="false" outlineLevel="0" collapsed="false">
      <c r="A142" s="31"/>
      <c r="B142" s="32"/>
      <c r="C142" s="32"/>
      <c r="D142" s="32"/>
      <c r="E142" s="32"/>
      <c r="F142" s="32"/>
      <c r="G142" s="34"/>
      <c r="H142" s="47"/>
    </row>
    <row r="143" customFormat="false" ht="15" hidden="false" customHeight="false" outlineLevel="0" collapsed="false">
      <c r="A143" s="31"/>
      <c r="B143" s="32"/>
      <c r="C143" s="32"/>
      <c r="D143" s="32"/>
      <c r="E143" s="32"/>
      <c r="F143" s="32"/>
      <c r="G143" s="34"/>
      <c r="H143" s="47"/>
    </row>
    <row r="144" customFormat="false" ht="15" hidden="false" customHeight="false" outlineLevel="0" collapsed="false">
      <c r="A144" s="31"/>
      <c r="B144" s="32"/>
      <c r="C144" s="32"/>
      <c r="D144" s="32"/>
      <c r="E144" s="32"/>
      <c r="F144" s="32"/>
      <c r="G144" s="34"/>
      <c r="H144" s="47"/>
    </row>
    <row r="145" customFormat="false" ht="15" hidden="false" customHeight="false" outlineLevel="0" collapsed="false">
      <c r="A145" s="31"/>
      <c r="B145" s="32"/>
      <c r="C145" s="32"/>
      <c r="D145" s="32"/>
      <c r="E145" s="32"/>
      <c r="F145" s="32"/>
      <c r="G145" s="34"/>
      <c r="H145" s="47"/>
    </row>
    <row r="146" customFormat="false" ht="15" hidden="false" customHeight="false" outlineLevel="0" collapsed="false">
      <c r="A146" s="31"/>
      <c r="B146" s="32"/>
      <c r="C146" s="32"/>
      <c r="D146" s="32"/>
      <c r="E146" s="32"/>
      <c r="F146" s="32"/>
      <c r="G146" s="34"/>
      <c r="H146" s="47"/>
    </row>
    <row r="147" customFormat="false" ht="15" hidden="false" customHeight="false" outlineLevel="0" collapsed="false">
      <c r="A147" s="31"/>
      <c r="B147" s="32"/>
      <c r="C147" s="32"/>
      <c r="D147" s="32"/>
      <c r="E147" s="32"/>
      <c r="F147" s="32"/>
      <c r="G147" s="34"/>
      <c r="H147" s="47"/>
    </row>
    <row r="148" customFormat="false" ht="15" hidden="false" customHeight="false" outlineLevel="0" collapsed="false">
      <c r="A148" s="31"/>
      <c r="B148" s="32"/>
      <c r="C148" s="32"/>
      <c r="D148" s="32"/>
      <c r="E148" s="32"/>
      <c r="F148" s="32"/>
      <c r="G148" s="34"/>
      <c r="H148" s="47"/>
    </row>
    <row r="149" customFormat="false" ht="15" hidden="false" customHeight="false" outlineLevel="0" collapsed="false">
      <c r="A149" s="31"/>
      <c r="B149" s="32"/>
      <c r="C149" s="32"/>
      <c r="D149" s="32"/>
      <c r="E149" s="32"/>
      <c r="F149" s="32"/>
      <c r="G149" s="34"/>
      <c r="H149" s="47"/>
    </row>
    <row r="150" customFormat="false" ht="15" hidden="false" customHeight="false" outlineLevel="0" collapsed="false">
      <c r="A150" s="31"/>
      <c r="B150" s="32"/>
      <c r="C150" s="32"/>
      <c r="D150" s="32"/>
      <c r="E150" s="32"/>
      <c r="F150" s="32"/>
      <c r="G150" s="34"/>
      <c r="H150" s="47"/>
    </row>
    <row r="151" customFormat="false" ht="15" hidden="false" customHeight="false" outlineLevel="0" collapsed="false">
      <c r="A151" s="31"/>
      <c r="B151" s="32"/>
      <c r="C151" s="32"/>
      <c r="D151" s="32"/>
      <c r="E151" s="32"/>
      <c r="F151" s="32"/>
      <c r="G151" s="34"/>
      <c r="H151" s="47"/>
    </row>
    <row r="152" customFormat="false" ht="15" hidden="false" customHeight="false" outlineLevel="0" collapsed="false">
      <c r="A152" s="31"/>
      <c r="B152" s="32"/>
      <c r="C152" s="32"/>
      <c r="D152" s="32"/>
      <c r="E152" s="32"/>
      <c r="F152" s="32"/>
      <c r="G152" s="34"/>
      <c r="H152" s="47"/>
    </row>
    <row r="153" customFormat="false" ht="15" hidden="false" customHeight="false" outlineLevel="0" collapsed="false">
      <c r="A153" s="31"/>
      <c r="B153" s="32"/>
      <c r="C153" s="32"/>
      <c r="D153" s="32"/>
      <c r="E153" s="32"/>
      <c r="F153" s="32"/>
      <c r="G153" s="34"/>
      <c r="H153" s="47"/>
    </row>
    <row r="154" customFormat="false" ht="15" hidden="false" customHeight="false" outlineLevel="0" collapsed="false">
      <c r="A154" s="31"/>
      <c r="B154" s="32"/>
      <c r="C154" s="32"/>
      <c r="D154" s="32"/>
      <c r="E154" s="32"/>
      <c r="F154" s="32"/>
      <c r="G154" s="34"/>
      <c r="H154" s="47"/>
    </row>
    <row r="155" customFormat="false" ht="15" hidden="false" customHeight="false" outlineLevel="0" collapsed="false">
      <c r="A155" s="31"/>
      <c r="B155" s="32"/>
      <c r="C155" s="32"/>
      <c r="D155" s="32"/>
      <c r="E155" s="32"/>
      <c r="F155" s="32"/>
      <c r="G155" s="34"/>
      <c r="H155" s="47"/>
    </row>
    <row r="156" customFormat="false" ht="15" hidden="false" customHeight="false" outlineLevel="0" collapsed="false">
      <c r="A156" s="31"/>
      <c r="B156" s="32"/>
      <c r="C156" s="32"/>
      <c r="D156" s="32"/>
      <c r="E156" s="32"/>
      <c r="F156" s="32"/>
      <c r="G156" s="34"/>
      <c r="H156" s="47"/>
    </row>
    <row r="157" customFormat="false" ht="15" hidden="false" customHeight="false" outlineLevel="0" collapsed="false">
      <c r="A157" s="31"/>
      <c r="B157" s="32"/>
      <c r="C157" s="32"/>
      <c r="D157" s="32"/>
      <c r="E157" s="32"/>
      <c r="F157" s="32"/>
      <c r="G157" s="34"/>
      <c r="H157" s="47"/>
    </row>
    <row r="158" customFormat="false" ht="15" hidden="false" customHeight="false" outlineLevel="0" collapsed="false">
      <c r="A158" s="31"/>
      <c r="B158" s="32"/>
      <c r="C158" s="32"/>
      <c r="D158" s="32"/>
      <c r="E158" s="32"/>
      <c r="F158" s="32"/>
      <c r="G158" s="34"/>
      <c r="H158" s="47"/>
    </row>
    <row r="159" customFormat="false" ht="15" hidden="false" customHeight="false" outlineLevel="0" collapsed="false">
      <c r="A159" s="31"/>
      <c r="B159" s="32"/>
      <c r="C159" s="32"/>
      <c r="D159" s="32"/>
      <c r="E159" s="32"/>
      <c r="F159" s="32"/>
      <c r="G159" s="34"/>
      <c r="H159" s="47"/>
    </row>
    <row r="160" customFormat="false" ht="15" hidden="false" customHeight="false" outlineLevel="0" collapsed="false">
      <c r="A160" s="31"/>
      <c r="B160" s="32"/>
      <c r="C160" s="32"/>
      <c r="D160" s="32"/>
      <c r="E160" s="32"/>
      <c r="F160" s="32"/>
      <c r="G160" s="34"/>
      <c r="H160" s="47"/>
    </row>
    <row r="161" customFormat="false" ht="15" hidden="false" customHeight="false" outlineLevel="0" collapsed="false">
      <c r="A161" s="31"/>
      <c r="B161" s="32"/>
      <c r="C161" s="32"/>
      <c r="D161" s="32"/>
      <c r="E161" s="32"/>
      <c r="F161" s="32"/>
      <c r="G161" s="34"/>
      <c r="H161" s="47"/>
    </row>
    <row r="162" customFormat="false" ht="15" hidden="false" customHeight="false" outlineLevel="0" collapsed="false">
      <c r="A162" s="31"/>
      <c r="B162" s="32"/>
      <c r="C162" s="32"/>
      <c r="D162" s="32"/>
      <c r="E162" s="32"/>
      <c r="F162" s="32"/>
      <c r="G162" s="34"/>
      <c r="H162" s="47"/>
    </row>
    <row r="163" customFormat="false" ht="15" hidden="false" customHeight="false" outlineLevel="0" collapsed="false">
      <c r="A163" s="31"/>
      <c r="B163" s="32"/>
      <c r="C163" s="32"/>
      <c r="D163" s="32"/>
      <c r="E163" s="32"/>
      <c r="F163" s="32"/>
      <c r="G163" s="34"/>
      <c r="H163" s="47"/>
    </row>
    <row r="164" customFormat="false" ht="15" hidden="false" customHeight="false" outlineLevel="0" collapsed="false">
      <c r="A164" s="31"/>
      <c r="B164" s="32"/>
      <c r="C164" s="32"/>
      <c r="D164" s="32"/>
      <c r="E164" s="32"/>
      <c r="F164" s="32"/>
      <c r="G164" s="34"/>
      <c r="H164" s="47"/>
    </row>
    <row r="165" customFormat="false" ht="15" hidden="false" customHeight="false" outlineLevel="0" collapsed="false">
      <c r="A165" s="31"/>
      <c r="B165" s="32"/>
      <c r="C165" s="32"/>
      <c r="D165" s="32"/>
      <c r="E165" s="32"/>
      <c r="F165" s="32"/>
      <c r="G165" s="34"/>
      <c r="H165" s="47"/>
    </row>
    <row r="166" customFormat="false" ht="15" hidden="false" customHeight="false" outlineLevel="0" collapsed="false">
      <c r="A166" s="31"/>
      <c r="B166" s="32"/>
      <c r="C166" s="32"/>
      <c r="D166" s="32"/>
      <c r="E166" s="32"/>
      <c r="F166" s="32"/>
      <c r="G166" s="34"/>
      <c r="H166" s="47"/>
    </row>
    <row r="167" customFormat="false" ht="15" hidden="false" customHeight="false" outlineLevel="0" collapsed="false">
      <c r="A167" s="31"/>
      <c r="B167" s="32"/>
      <c r="C167" s="32"/>
      <c r="D167" s="32"/>
      <c r="E167" s="32"/>
      <c r="F167" s="32"/>
      <c r="G167" s="34"/>
      <c r="H167" s="47"/>
    </row>
    <row r="168" customFormat="false" ht="15" hidden="false" customHeight="false" outlineLevel="0" collapsed="false">
      <c r="A168" s="31"/>
      <c r="B168" s="32"/>
      <c r="C168" s="32"/>
      <c r="D168" s="32"/>
      <c r="E168" s="32"/>
      <c r="F168" s="32"/>
      <c r="G168" s="34"/>
      <c r="H168" s="47"/>
    </row>
    <row r="169" customFormat="false" ht="15" hidden="false" customHeight="false" outlineLevel="0" collapsed="false">
      <c r="A169" s="31"/>
      <c r="B169" s="32"/>
      <c r="C169" s="32"/>
      <c r="D169" s="32"/>
      <c r="E169" s="32"/>
      <c r="F169" s="32"/>
      <c r="G169" s="34"/>
      <c r="H169" s="47"/>
    </row>
    <row r="170" customFormat="false" ht="15" hidden="false" customHeight="false" outlineLevel="0" collapsed="false">
      <c r="A170" s="31"/>
      <c r="B170" s="32"/>
      <c r="C170" s="32"/>
      <c r="D170" s="32"/>
      <c r="E170" s="32"/>
      <c r="F170" s="32"/>
      <c r="G170" s="34"/>
      <c r="H170" s="47"/>
    </row>
    <row r="171" customFormat="false" ht="15" hidden="false" customHeight="false" outlineLevel="0" collapsed="false">
      <c r="A171" s="31"/>
      <c r="B171" s="32"/>
      <c r="C171" s="32"/>
      <c r="D171" s="32"/>
      <c r="E171" s="32"/>
      <c r="F171" s="32"/>
      <c r="G171" s="34"/>
      <c r="H171" s="47"/>
    </row>
    <row r="172" customFormat="false" ht="15" hidden="false" customHeight="false" outlineLevel="0" collapsed="false">
      <c r="A172" s="31"/>
      <c r="B172" s="32"/>
      <c r="C172" s="32"/>
      <c r="D172" s="32"/>
      <c r="E172" s="32"/>
      <c r="F172" s="32"/>
      <c r="G172" s="34"/>
      <c r="H172" s="47"/>
    </row>
    <row r="173" customFormat="false" ht="15" hidden="false" customHeight="false" outlineLevel="0" collapsed="false">
      <c r="A173" s="31"/>
      <c r="B173" s="32"/>
      <c r="C173" s="32"/>
      <c r="D173" s="32"/>
      <c r="E173" s="32"/>
      <c r="F173" s="32"/>
      <c r="G173" s="34"/>
      <c r="H173" s="47"/>
    </row>
    <row r="174" customFormat="false" ht="15" hidden="false" customHeight="false" outlineLevel="0" collapsed="false">
      <c r="A174" s="31"/>
      <c r="B174" s="32"/>
      <c r="C174" s="32"/>
      <c r="D174" s="32"/>
      <c r="E174" s="32"/>
      <c r="F174" s="32"/>
      <c r="G174" s="34"/>
      <c r="H174" s="47"/>
    </row>
    <row r="175" customFormat="false" ht="15" hidden="false" customHeight="false" outlineLevel="0" collapsed="false">
      <c r="A175" s="31"/>
      <c r="B175" s="32"/>
      <c r="C175" s="32"/>
      <c r="D175" s="32"/>
      <c r="E175" s="32"/>
      <c r="F175" s="32"/>
      <c r="G175" s="34"/>
      <c r="H175" s="47"/>
    </row>
    <row r="176" customFormat="false" ht="15" hidden="false" customHeight="false" outlineLevel="0" collapsed="false">
      <c r="A176" s="31"/>
      <c r="B176" s="32"/>
      <c r="C176" s="32"/>
      <c r="D176" s="32"/>
      <c r="E176" s="32"/>
      <c r="F176" s="32"/>
      <c r="G176" s="34"/>
      <c r="H176" s="47"/>
    </row>
    <row r="177" customFormat="false" ht="15" hidden="false" customHeight="false" outlineLevel="0" collapsed="false">
      <c r="A177" s="31"/>
      <c r="B177" s="32"/>
      <c r="C177" s="32"/>
      <c r="D177" s="32"/>
      <c r="E177" s="32"/>
      <c r="F177" s="32"/>
      <c r="G177" s="34"/>
      <c r="H177" s="47"/>
    </row>
    <row r="178" customFormat="false" ht="15" hidden="false" customHeight="false" outlineLevel="0" collapsed="false">
      <c r="A178" s="31"/>
      <c r="B178" s="32"/>
      <c r="C178" s="32"/>
      <c r="D178" s="32"/>
      <c r="E178" s="32"/>
      <c r="F178" s="32"/>
      <c r="G178" s="34"/>
      <c r="H178" s="47"/>
    </row>
    <row r="179" customFormat="false" ht="15" hidden="false" customHeight="false" outlineLevel="0" collapsed="false">
      <c r="A179" s="31"/>
      <c r="B179" s="32"/>
      <c r="C179" s="32"/>
      <c r="D179" s="32"/>
      <c r="E179" s="32"/>
      <c r="F179" s="32"/>
      <c r="G179" s="34"/>
      <c r="H179" s="47"/>
    </row>
    <row r="180" customFormat="false" ht="15" hidden="false" customHeight="false" outlineLevel="0" collapsed="false">
      <c r="A180" s="31"/>
      <c r="B180" s="32"/>
      <c r="C180" s="32"/>
      <c r="D180" s="32"/>
      <c r="E180" s="32"/>
      <c r="F180" s="32"/>
      <c r="G180" s="34"/>
      <c r="H180" s="47"/>
    </row>
    <row r="181" customFormat="false" ht="15" hidden="false" customHeight="false" outlineLevel="0" collapsed="false">
      <c r="A181" s="31"/>
      <c r="B181" s="32"/>
      <c r="C181" s="32"/>
      <c r="D181" s="32"/>
      <c r="E181" s="32"/>
      <c r="F181" s="32"/>
      <c r="G181" s="34"/>
      <c r="H181" s="47"/>
    </row>
    <row r="182" customFormat="false" ht="15" hidden="false" customHeight="false" outlineLevel="0" collapsed="false">
      <c r="A182" s="31"/>
      <c r="B182" s="32"/>
      <c r="C182" s="32"/>
      <c r="D182" s="32"/>
      <c r="E182" s="32"/>
      <c r="F182" s="32"/>
      <c r="G182" s="34"/>
      <c r="H182" s="47"/>
    </row>
    <row r="183" customFormat="false" ht="15" hidden="false" customHeight="false" outlineLevel="0" collapsed="false">
      <c r="A183" s="31"/>
      <c r="B183" s="32"/>
      <c r="C183" s="32"/>
      <c r="D183" s="32"/>
      <c r="E183" s="32"/>
      <c r="F183" s="32"/>
      <c r="G183" s="34"/>
      <c r="H183" s="47"/>
    </row>
    <row r="184" customFormat="false" ht="15" hidden="false" customHeight="false" outlineLevel="0" collapsed="false">
      <c r="A184" s="31"/>
      <c r="B184" s="32"/>
      <c r="C184" s="32"/>
      <c r="D184" s="32"/>
      <c r="E184" s="32"/>
      <c r="F184" s="32"/>
      <c r="G184" s="34"/>
      <c r="H184" s="47"/>
    </row>
    <row r="185" customFormat="false" ht="15" hidden="false" customHeight="false" outlineLevel="0" collapsed="false">
      <c r="A185" s="31"/>
      <c r="B185" s="32"/>
      <c r="C185" s="32"/>
      <c r="D185" s="32"/>
      <c r="E185" s="32"/>
      <c r="F185" s="32"/>
      <c r="G185" s="34"/>
      <c r="H185" s="47"/>
    </row>
    <row r="186" customFormat="false" ht="15" hidden="false" customHeight="false" outlineLevel="0" collapsed="false">
      <c r="A186" s="31"/>
      <c r="B186" s="32"/>
      <c r="C186" s="32"/>
      <c r="D186" s="32"/>
      <c r="E186" s="32"/>
      <c r="F186" s="32"/>
      <c r="G186" s="34"/>
      <c r="H186" s="47"/>
    </row>
    <row r="187" customFormat="false" ht="15" hidden="false" customHeight="false" outlineLevel="0" collapsed="false">
      <c r="A187" s="31"/>
      <c r="B187" s="32"/>
      <c r="C187" s="32"/>
      <c r="D187" s="32"/>
      <c r="E187" s="32"/>
      <c r="F187" s="32"/>
      <c r="G187" s="34"/>
      <c r="H187" s="47"/>
    </row>
    <row r="188" customFormat="false" ht="15" hidden="false" customHeight="false" outlineLevel="0" collapsed="false">
      <c r="A188" s="31"/>
      <c r="B188" s="32"/>
      <c r="C188" s="32"/>
      <c r="D188" s="32"/>
      <c r="E188" s="32"/>
      <c r="F188" s="32"/>
      <c r="G188" s="34"/>
      <c r="H188" s="47"/>
    </row>
    <row r="189" customFormat="false" ht="15" hidden="false" customHeight="false" outlineLevel="0" collapsed="false">
      <c r="A189" s="31"/>
      <c r="B189" s="32"/>
      <c r="C189" s="32"/>
      <c r="D189" s="32"/>
      <c r="E189" s="32"/>
      <c r="F189" s="32"/>
      <c r="G189" s="34"/>
      <c r="H189" s="47"/>
    </row>
    <row r="190" customFormat="false" ht="15" hidden="false" customHeight="false" outlineLevel="0" collapsed="false">
      <c r="A190" s="31"/>
      <c r="B190" s="32"/>
      <c r="C190" s="32"/>
      <c r="D190" s="32"/>
      <c r="E190" s="32"/>
      <c r="F190" s="32"/>
      <c r="G190" s="34"/>
      <c r="H190" s="47"/>
    </row>
    <row r="191" customFormat="false" ht="15" hidden="false" customHeight="false" outlineLevel="0" collapsed="false">
      <c r="A191" s="31"/>
      <c r="B191" s="32"/>
      <c r="C191" s="32"/>
      <c r="D191" s="32"/>
      <c r="E191" s="32"/>
      <c r="F191" s="32"/>
      <c r="G191" s="34"/>
      <c r="H191" s="47"/>
    </row>
    <row r="192" customFormat="false" ht="15" hidden="false" customHeight="false" outlineLevel="0" collapsed="false">
      <c r="A192" s="31"/>
      <c r="B192" s="32"/>
      <c r="C192" s="32"/>
      <c r="D192" s="32"/>
      <c r="E192" s="32"/>
      <c r="F192" s="32"/>
      <c r="G192" s="34"/>
      <c r="H192" s="47"/>
    </row>
    <row r="193" customFormat="false" ht="15" hidden="false" customHeight="false" outlineLevel="0" collapsed="false">
      <c r="A193" s="31"/>
      <c r="B193" s="32"/>
      <c r="C193" s="32"/>
      <c r="D193" s="32"/>
      <c r="E193" s="32"/>
      <c r="F193" s="32"/>
      <c r="G193" s="34"/>
      <c r="H193" s="47"/>
    </row>
    <row r="194" customFormat="false" ht="15" hidden="false" customHeight="false" outlineLevel="0" collapsed="false">
      <c r="A194" s="31"/>
      <c r="B194" s="32"/>
      <c r="C194" s="32"/>
      <c r="D194" s="32"/>
      <c r="E194" s="32"/>
      <c r="F194" s="32"/>
      <c r="G194" s="34"/>
      <c r="H194" s="47"/>
    </row>
    <row r="195" customFormat="false" ht="15" hidden="false" customHeight="false" outlineLevel="0" collapsed="false">
      <c r="A195" s="31"/>
      <c r="B195" s="32"/>
      <c r="C195" s="32"/>
      <c r="D195" s="32"/>
      <c r="E195" s="32"/>
      <c r="F195" s="32"/>
      <c r="G195" s="34"/>
      <c r="H195" s="47"/>
    </row>
    <row r="196" customFormat="false" ht="15" hidden="false" customHeight="false" outlineLevel="0" collapsed="false">
      <c r="A196" s="31"/>
      <c r="B196" s="32"/>
      <c r="C196" s="32"/>
      <c r="D196" s="32"/>
      <c r="E196" s="32"/>
      <c r="F196" s="32"/>
      <c r="G196" s="34"/>
      <c r="H196" s="47"/>
    </row>
    <row r="197" customFormat="false" ht="15" hidden="false" customHeight="false" outlineLevel="0" collapsed="false">
      <c r="A197" s="31"/>
      <c r="B197" s="32"/>
      <c r="C197" s="32"/>
      <c r="D197" s="32"/>
      <c r="E197" s="32"/>
      <c r="F197" s="32"/>
      <c r="G197" s="34"/>
      <c r="H197" s="47"/>
    </row>
    <row r="198" customFormat="false" ht="15" hidden="false" customHeight="false" outlineLevel="0" collapsed="false">
      <c r="A198" s="31"/>
      <c r="B198" s="32"/>
      <c r="C198" s="32"/>
      <c r="D198" s="32"/>
      <c r="E198" s="32"/>
      <c r="F198" s="32"/>
      <c r="G198" s="34"/>
      <c r="H198" s="47"/>
    </row>
    <row r="199" customFormat="false" ht="15" hidden="false" customHeight="false" outlineLevel="0" collapsed="false">
      <c r="A199" s="31"/>
      <c r="B199" s="32"/>
      <c r="C199" s="32"/>
      <c r="D199" s="32"/>
      <c r="E199" s="32"/>
      <c r="F199" s="32"/>
      <c r="G199" s="34"/>
      <c r="H199" s="47"/>
    </row>
    <row r="200" customFormat="false" ht="15" hidden="false" customHeight="false" outlineLevel="0" collapsed="false">
      <c r="A200" s="31"/>
      <c r="B200" s="32"/>
      <c r="C200" s="32"/>
      <c r="D200" s="32"/>
      <c r="E200" s="32"/>
      <c r="F200" s="32"/>
      <c r="G200" s="34"/>
      <c r="H200" s="47"/>
    </row>
    <row r="201" customFormat="false" ht="15" hidden="false" customHeight="false" outlineLevel="0" collapsed="false">
      <c r="A201" s="31"/>
      <c r="B201" s="32"/>
      <c r="C201" s="32"/>
      <c r="D201" s="32"/>
      <c r="E201" s="32"/>
      <c r="F201" s="32"/>
      <c r="G201" s="34"/>
      <c r="H201" s="47"/>
    </row>
    <row r="202" customFormat="false" ht="15" hidden="false" customHeight="false" outlineLevel="0" collapsed="false">
      <c r="A202" s="31"/>
      <c r="B202" s="32"/>
      <c r="C202" s="32"/>
      <c r="D202" s="32"/>
      <c r="E202" s="32"/>
      <c r="F202" s="32"/>
      <c r="G202" s="34"/>
      <c r="H202" s="47"/>
    </row>
    <row r="203" customFormat="false" ht="15" hidden="false" customHeight="false" outlineLevel="0" collapsed="false">
      <c r="A203" s="31"/>
      <c r="B203" s="32"/>
      <c r="C203" s="32"/>
      <c r="D203" s="32"/>
      <c r="E203" s="32"/>
      <c r="F203" s="32"/>
      <c r="G203" s="34"/>
      <c r="H203" s="47"/>
    </row>
    <row r="204" customFormat="false" ht="15" hidden="false" customHeight="false" outlineLevel="0" collapsed="false">
      <c r="A204" s="31"/>
      <c r="B204" s="32"/>
      <c r="C204" s="32"/>
      <c r="D204" s="32"/>
      <c r="E204" s="32"/>
      <c r="F204" s="32"/>
      <c r="G204" s="34"/>
      <c r="H204" s="47"/>
    </row>
    <row r="205" customFormat="false" ht="15" hidden="false" customHeight="false" outlineLevel="0" collapsed="false">
      <c r="A205" s="31"/>
      <c r="B205" s="32"/>
      <c r="C205" s="32"/>
      <c r="D205" s="32"/>
      <c r="E205" s="32"/>
      <c r="F205" s="32"/>
      <c r="G205" s="34"/>
      <c r="H205" s="47"/>
    </row>
  </sheetData>
  <autoFilter ref="A4:H205"/>
  <mergeCells count="2">
    <mergeCell ref="A1:H1"/>
    <mergeCell ref="A2:H2"/>
  </mergeCells>
  <conditionalFormatting sqref="G6:G205">
    <cfRule type="expression" priority="2" aboveAverage="0" equalAverage="0" bottom="0" percent="0" rank="0" text="" dxfId="15">
      <formula>$G6="High"</formula>
    </cfRule>
    <cfRule type="expression" priority="3" aboveAverage="0" equalAverage="0" bottom="0" percent="0" rank="0" text="" dxfId="13">
      <formula>$G6="Medium"</formula>
    </cfRule>
    <cfRule type="expression" priority="4" aboveAverage="0" equalAverage="0" bottom="0" percent="0" rank="0" text="" dxfId="19">
      <formula>$G6="Low"</formula>
    </cfRule>
  </conditionalFormatting>
  <dataValidations count="3">
    <dataValidation allowBlank="true" error="Type a date such as 21-Oct-2026." errorStyle="stop" errorTitle="Not a date" operator="greaterThan" prompt="Type like 21-Oct-2026 or press Ctrl + ; for today." promptTitle="Date" showDropDown="false" showErrorMessage="true" showInputMessage="true" sqref="A6:A205" type="date">
      <formula1>43831</formula1>
      <formula2>0</formula2>
    </dataValidation>
    <dataValidation allowBlank="true" error="Please choose one of the options in the dropdown." errorStyle="stop" errorTitle="Pick from the list" operator="between" prompt="Pick your name." promptTitle="Tester" showDropDown="false" showErrorMessage="false" showInputMessage="true" sqref="B6:B205" type="list">
      <formula1>'READ ME'!$C$51:$C$58</formula1>
      <formula2>0</formula2>
    </dataValidation>
    <dataValidation allowBlank="true" error="Please choose one of the options in the dropdown." errorStyle="stop" errorTitle="Pick from the list" operator="between" prompt="High: a new user would be stuck or misled. Medium: slows them down. Low: small annoyance." promptTitle="Impact" showDropDown="false" showErrorMessage="true" showInputMessage="true" sqref="G6:G205" type="list">
      <formula1>Lists!$D$2:$D$4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4F"/>
    <pageSetUpPr fitToPage="true"/>
  </sheetPr>
  <dimension ref="A1:L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4" min="3" style="0" width="10"/>
    <col collapsed="false" customWidth="true" hidden="false" outlineLevel="0" max="5" min="5" style="0" width="9"/>
    <col collapsed="false" customWidth="true" hidden="false" outlineLevel="0" max="6" min="6" style="0" width="28"/>
    <col collapsed="false" customWidth="true" hidden="false" outlineLevel="0" max="7" min="7" style="0" width="32"/>
    <col collapsed="false" customWidth="true" hidden="false" outlineLevel="0" max="9" min="8" style="0" width="10"/>
    <col collapsed="false" customWidth="true" hidden="false" outlineLevel="0" max="10" min="10" style="0" width="34"/>
    <col collapsed="false" customWidth="true" hidden="false" outlineLevel="0" max="11" min="11" style="0" width="28"/>
    <col collapsed="false" customWidth="true" hidden="false" outlineLevel="0" max="12" min="12" style="0" width="30"/>
  </cols>
  <sheetData>
    <row r="1" customFormat="false" ht="30" hidden="false" customHeight="true" outlineLevel="0" collapsed="false">
      <c r="A1" s="1" t="s">
        <v>382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383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1.5" hidden="false" customHeight="true" outlineLevel="0" collapsed="false">
      <c r="A4" s="28" t="s">
        <v>105</v>
      </c>
      <c r="B4" s="28" t="s">
        <v>106</v>
      </c>
      <c r="C4" s="28" t="s">
        <v>384</v>
      </c>
      <c r="D4" s="28" t="s">
        <v>385</v>
      </c>
      <c r="E4" s="28" t="s">
        <v>386</v>
      </c>
      <c r="F4" s="28" t="s">
        <v>387</v>
      </c>
      <c r="G4" s="28" t="s">
        <v>388</v>
      </c>
      <c r="H4" s="28" t="s">
        <v>389</v>
      </c>
      <c r="I4" s="28" t="s">
        <v>390</v>
      </c>
      <c r="J4" s="28" t="s">
        <v>391</v>
      </c>
      <c r="K4" s="28" t="s">
        <v>392</v>
      </c>
      <c r="L4" s="28" t="s">
        <v>393</v>
      </c>
    </row>
    <row r="5" customFormat="false" ht="49.5" hidden="false" customHeight="true" outlineLevel="0" collapsed="false">
      <c r="A5" s="29" t="s">
        <v>113</v>
      </c>
      <c r="B5" s="30" t="s">
        <v>114</v>
      </c>
      <c r="C5" s="30" t="s">
        <v>115</v>
      </c>
      <c r="D5" s="30" t="s">
        <v>394</v>
      </c>
      <c r="E5" s="30" t="n">
        <v>3</v>
      </c>
      <c r="F5" s="30" t="s">
        <v>395</v>
      </c>
      <c r="G5" s="30" t="s">
        <v>396</v>
      </c>
      <c r="H5" s="30" t="n">
        <v>2</v>
      </c>
      <c r="I5" s="30" t="n">
        <v>1</v>
      </c>
      <c r="J5" s="30" t="s">
        <v>397</v>
      </c>
      <c r="K5" s="30" t="s">
        <v>398</v>
      </c>
      <c r="L5" s="30" t="s">
        <v>399</v>
      </c>
    </row>
    <row r="6" customFormat="false" ht="15" hidden="false" customHeight="false" outlineLevel="0" collapsed="false">
      <c r="A6" s="31"/>
      <c r="B6" s="32"/>
      <c r="C6" s="48" t="str">
        <f aca="false">IF(OR(A6="",B6=""),"",IFERROR(1/(1/SUMIFS('Check-in'!$C$6:$C$205,'Check-in'!$A$6:$A$205,A6,'Check-in'!$B$6:$B$205,B6)),""))</f>
        <v/>
      </c>
      <c r="D6" s="33"/>
      <c r="E6" s="49" t="str">
        <f aca="false">IF(OR(C6="",D6=""),"",ROUND((D6-C6)*24,1))</f>
        <v/>
      </c>
      <c r="F6" s="32"/>
      <c r="G6" s="32"/>
      <c r="H6" s="35" t="str">
        <f aca="false">IF(OR(A6="",B6=""),"",COUNTIFS(Bugs!$B$6:$B$305,A6,Bugs!$C$6:$C$305,B6))</f>
        <v/>
      </c>
      <c r="I6" s="35" t="str">
        <f aca="false">IF(OR(A6="",B6=""),"",COUNTIFS('UX Notes'!$A$6:$A$205,A6,'UX Notes'!$B$6:$B$205,B6))</f>
        <v/>
      </c>
      <c r="J6" s="32"/>
      <c r="K6" s="32"/>
      <c r="L6" s="32"/>
    </row>
    <row r="7" customFormat="false" ht="15" hidden="false" customHeight="false" outlineLevel="0" collapsed="false">
      <c r="A7" s="31"/>
      <c r="B7" s="32"/>
      <c r="C7" s="48" t="str">
        <f aca="false">IF(OR(A7="",B7=""),"",IFERROR(1/(1/SUMIFS('Check-in'!$C$6:$C$205,'Check-in'!$A$6:$A$205,A7,'Check-in'!$B$6:$B$205,B7)),""))</f>
        <v/>
      </c>
      <c r="D7" s="33"/>
      <c r="E7" s="49" t="str">
        <f aca="false">IF(OR(C7="",D7=""),"",ROUND((D7-C7)*24,1))</f>
        <v/>
      </c>
      <c r="F7" s="32"/>
      <c r="G7" s="32"/>
      <c r="H7" s="35" t="str">
        <f aca="false">IF(OR(A7="",B7=""),"",COUNTIFS(Bugs!$B$6:$B$305,A7,Bugs!$C$6:$C$305,B7))</f>
        <v/>
      </c>
      <c r="I7" s="35" t="str">
        <f aca="false">IF(OR(A7="",B7=""),"",COUNTIFS('UX Notes'!$A$6:$A$205,A7,'UX Notes'!$B$6:$B$205,B7))</f>
        <v/>
      </c>
      <c r="J7" s="32"/>
      <c r="K7" s="32"/>
      <c r="L7" s="32"/>
    </row>
    <row r="8" customFormat="false" ht="15" hidden="false" customHeight="false" outlineLevel="0" collapsed="false">
      <c r="A8" s="31"/>
      <c r="B8" s="32"/>
      <c r="C8" s="48" t="str">
        <f aca="false">IF(OR(A8="",B8=""),"",IFERROR(1/(1/SUMIFS('Check-in'!$C$6:$C$205,'Check-in'!$A$6:$A$205,A8,'Check-in'!$B$6:$B$205,B8)),""))</f>
        <v/>
      </c>
      <c r="D8" s="33"/>
      <c r="E8" s="49" t="str">
        <f aca="false">IF(OR(C8="",D8=""),"",ROUND((D8-C8)*24,1))</f>
        <v/>
      </c>
      <c r="F8" s="32"/>
      <c r="G8" s="32"/>
      <c r="H8" s="35" t="str">
        <f aca="false">IF(OR(A8="",B8=""),"",COUNTIFS(Bugs!$B$6:$B$305,A8,Bugs!$C$6:$C$305,B8))</f>
        <v/>
      </c>
      <c r="I8" s="35" t="str">
        <f aca="false">IF(OR(A8="",B8=""),"",COUNTIFS('UX Notes'!$A$6:$A$205,A8,'UX Notes'!$B$6:$B$205,B8))</f>
        <v/>
      </c>
      <c r="J8" s="32"/>
      <c r="K8" s="32"/>
      <c r="L8" s="32"/>
    </row>
    <row r="9" customFormat="false" ht="15" hidden="false" customHeight="false" outlineLevel="0" collapsed="false">
      <c r="A9" s="31"/>
      <c r="B9" s="32"/>
      <c r="C9" s="48" t="str">
        <f aca="false">IF(OR(A9="",B9=""),"",IFERROR(1/(1/SUMIFS('Check-in'!$C$6:$C$205,'Check-in'!$A$6:$A$205,A9,'Check-in'!$B$6:$B$205,B9)),""))</f>
        <v/>
      </c>
      <c r="D9" s="33"/>
      <c r="E9" s="49" t="str">
        <f aca="false">IF(OR(C9="",D9=""),"",ROUND((D9-C9)*24,1))</f>
        <v/>
      </c>
      <c r="F9" s="32"/>
      <c r="G9" s="32"/>
      <c r="H9" s="35" t="str">
        <f aca="false">IF(OR(A9="",B9=""),"",COUNTIFS(Bugs!$B$6:$B$305,A9,Bugs!$C$6:$C$305,B9))</f>
        <v/>
      </c>
      <c r="I9" s="35" t="str">
        <f aca="false">IF(OR(A9="",B9=""),"",COUNTIFS('UX Notes'!$A$6:$A$205,A9,'UX Notes'!$B$6:$B$205,B9))</f>
        <v/>
      </c>
      <c r="J9" s="32"/>
      <c r="K9" s="32"/>
      <c r="L9" s="32"/>
    </row>
    <row r="10" customFormat="false" ht="15" hidden="false" customHeight="false" outlineLevel="0" collapsed="false">
      <c r="A10" s="31"/>
      <c r="B10" s="32"/>
      <c r="C10" s="48" t="str">
        <f aca="false">IF(OR(A10="",B10=""),"",IFERROR(1/(1/SUMIFS('Check-in'!$C$6:$C$205,'Check-in'!$A$6:$A$205,A10,'Check-in'!$B$6:$B$205,B10)),""))</f>
        <v/>
      </c>
      <c r="D10" s="33"/>
      <c r="E10" s="49" t="str">
        <f aca="false">IF(OR(C10="",D10=""),"",ROUND((D10-C10)*24,1))</f>
        <v/>
      </c>
      <c r="F10" s="32"/>
      <c r="G10" s="32"/>
      <c r="H10" s="35" t="str">
        <f aca="false">IF(OR(A10="",B10=""),"",COUNTIFS(Bugs!$B$6:$B$305,A10,Bugs!$C$6:$C$305,B10))</f>
        <v/>
      </c>
      <c r="I10" s="35" t="str">
        <f aca="false">IF(OR(A10="",B10=""),"",COUNTIFS('UX Notes'!$A$6:$A$205,A10,'UX Notes'!$B$6:$B$205,B10))</f>
        <v/>
      </c>
      <c r="J10" s="32"/>
      <c r="K10" s="32"/>
      <c r="L10" s="32"/>
    </row>
    <row r="11" customFormat="false" ht="15" hidden="false" customHeight="false" outlineLevel="0" collapsed="false">
      <c r="A11" s="31"/>
      <c r="B11" s="32"/>
      <c r="C11" s="48" t="str">
        <f aca="false">IF(OR(A11="",B11=""),"",IFERROR(1/(1/SUMIFS('Check-in'!$C$6:$C$205,'Check-in'!$A$6:$A$205,A11,'Check-in'!$B$6:$B$205,B11)),""))</f>
        <v/>
      </c>
      <c r="D11" s="33"/>
      <c r="E11" s="49" t="str">
        <f aca="false">IF(OR(C11="",D11=""),"",ROUND((D11-C11)*24,1))</f>
        <v/>
      </c>
      <c r="F11" s="32"/>
      <c r="G11" s="32"/>
      <c r="H11" s="35" t="str">
        <f aca="false">IF(OR(A11="",B11=""),"",COUNTIFS(Bugs!$B$6:$B$305,A11,Bugs!$C$6:$C$305,B11))</f>
        <v/>
      </c>
      <c r="I11" s="35" t="str">
        <f aca="false">IF(OR(A11="",B11=""),"",COUNTIFS('UX Notes'!$A$6:$A$205,A11,'UX Notes'!$B$6:$B$205,B11))</f>
        <v/>
      </c>
      <c r="J11" s="32"/>
      <c r="K11" s="32"/>
      <c r="L11" s="32"/>
    </row>
    <row r="12" customFormat="false" ht="15" hidden="false" customHeight="false" outlineLevel="0" collapsed="false">
      <c r="A12" s="31"/>
      <c r="B12" s="32"/>
      <c r="C12" s="48" t="str">
        <f aca="false">IF(OR(A12="",B12=""),"",IFERROR(1/(1/SUMIFS('Check-in'!$C$6:$C$205,'Check-in'!$A$6:$A$205,A12,'Check-in'!$B$6:$B$205,B12)),""))</f>
        <v/>
      </c>
      <c r="D12" s="33"/>
      <c r="E12" s="49" t="str">
        <f aca="false">IF(OR(C12="",D12=""),"",ROUND((D12-C12)*24,1))</f>
        <v/>
      </c>
      <c r="F12" s="32"/>
      <c r="G12" s="32"/>
      <c r="H12" s="35" t="str">
        <f aca="false">IF(OR(A12="",B12=""),"",COUNTIFS(Bugs!$B$6:$B$305,A12,Bugs!$C$6:$C$305,B12))</f>
        <v/>
      </c>
      <c r="I12" s="35" t="str">
        <f aca="false">IF(OR(A12="",B12=""),"",COUNTIFS('UX Notes'!$A$6:$A$205,A12,'UX Notes'!$B$6:$B$205,B12))</f>
        <v/>
      </c>
      <c r="J12" s="32"/>
      <c r="K12" s="32"/>
      <c r="L12" s="32"/>
    </row>
    <row r="13" customFormat="false" ht="15" hidden="false" customHeight="false" outlineLevel="0" collapsed="false">
      <c r="A13" s="31"/>
      <c r="B13" s="32"/>
      <c r="C13" s="48" t="str">
        <f aca="false">IF(OR(A13="",B13=""),"",IFERROR(1/(1/SUMIFS('Check-in'!$C$6:$C$205,'Check-in'!$A$6:$A$205,A13,'Check-in'!$B$6:$B$205,B13)),""))</f>
        <v/>
      </c>
      <c r="D13" s="33"/>
      <c r="E13" s="49" t="str">
        <f aca="false">IF(OR(C13="",D13=""),"",ROUND((D13-C13)*24,1))</f>
        <v/>
      </c>
      <c r="F13" s="32"/>
      <c r="G13" s="32"/>
      <c r="H13" s="35" t="str">
        <f aca="false">IF(OR(A13="",B13=""),"",COUNTIFS(Bugs!$B$6:$B$305,A13,Bugs!$C$6:$C$305,B13))</f>
        <v/>
      </c>
      <c r="I13" s="35" t="str">
        <f aca="false">IF(OR(A13="",B13=""),"",COUNTIFS('UX Notes'!$A$6:$A$205,A13,'UX Notes'!$B$6:$B$205,B13))</f>
        <v/>
      </c>
      <c r="J13" s="32"/>
      <c r="K13" s="32"/>
      <c r="L13" s="32"/>
    </row>
    <row r="14" customFormat="false" ht="15" hidden="false" customHeight="false" outlineLevel="0" collapsed="false">
      <c r="A14" s="31"/>
      <c r="B14" s="32"/>
      <c r="C14" s="48" t="str">
        <f aca="false">IF(OR(A14="",B14=""),"",IFERROR(1/(1/SUMIFS('Check-in'!$C$6:$C$205,'Check-in'!$A$6:$A$205,A14,'Check-in'!$B$6:$B$205,B14)),""))</f>
        <v/>
      </c>
      <c r="D14" s="33"/>
      <c r="E14" s="49" t="str">
        <f aca="false">IF(OR(C14="",D14=""),"",ROUND((D14-C14)*24,1))</f>
        <v/>
      </c>
      <c r="F14" s="32"/>
      <c r="G14" s="32"/>
      <c r="H14" s="35" t="str">
        <f aca="false">IF(OR(A14="",B14=""),"",COUNTIFS(Bugs!$B$6:$B$305,A14,Bugs!$C$6:$C$305,B14))</f>
        <v/>
      </c>
      <c r="I14" s="35" t="str">
        <f aca="false">IF(OR(A14="",B14=""),"",COUNTIFS('UX Notes'!$A$6:$A$205,A14,'UX Notes'!$B$6:$B$205,B14))</f>
        <v/>
      </c>
      <c r="J14" s="32"/>
      <c r="K14" s="32"/>
      <c r="L14" s="32"/>
    </row>
    <row r="15" customFormat="false" ht="15" hidden="false" customHeight="false" outlineLevel="0" collapsed="false">
      <c r="A15" s="31"/>
      <c r="B15" s="32"/>
      <c r="C15" s="48" t="str">
        <f aca="false">IF(OR(A15="",B15=""),"",IFERROR(1/(1/SUMIFS('Check-in'!$C$6:$C$205,'Check-in'!$A$6:$A$205,A15,'Check-in'!$B$6:$B$205,B15)),""))</f>
        <v/>
      </c>
      <c r="D15" s="33"/>
      <c r="E15" s="49" t="str">
        <f aca="false">IF(OR(C15="",D15=""),"",ROUND((D15-C15)*24,1))</f>
        <v/>
      </c>
      <c r="F15" s="32"/>
      <c r="G15" s="32"/>
      <c r="H15" s="35" t="str">
        <f aca="false">IF(OR(A15="",B15=""),"",COUNTIFS(Bugs!$B$6:$B$305,A15,Bugs!$C$6:$C$305,B15))</f>
        <v/>
      </c>
      <c r="I15" s="35" t="str">
        <f aca="false">IF(OR(A15="",B15=""),"",COUNTIFS('UX Notes'!$A$6:$A$205,A15,'UX Notes'!$B$6:$B$205,B15))</f>
        <v/>
      </c>
      <c r="J15" s="32"/>
      <c r="K15" s="32"/>
      <c r="L15" s="32"/>
    </row>
    <row r="16" customFormat="false" ht="15" hidden="false" customHeight="false" outlineLevel="0" collapsed="false">
      <c r="A16" s="31"/>
      <c r="B16" s="32"/>
      <c r="C16" s="48" t="str">
        <f aca="false">IF(OR(A16="",B16=""),"",IFERROR(1/(1/SUMIFS('Check-in'!$C$6:$C$205,'Check-in'!$A$6:$A$205,A16,'Check-in'!$B$6:$B$205,B16)),""))</f>
        <v/>
      </c>
      <c r="D16" s="33"/>
      <c r="E16" s="49" t="str">
        <f aca="false">IF(OR(C16="",D16=""),"",ROUND((D16-C16)*24,1))</f>
        <v/>
      </c>
      <c r="F16" s="32"/>
      <c r="G16" s="32"/>
      <c r="H16" s="35" t="str">
        <f aca="false">IF(OR(A16="",B16=""),"",COUNTIFS(Bugs!$B$6:$B$305,A16,Bugs!$C$6:$C$305,B16))</f>
        <v/>
      </c>
      <c r="I16" s="35" t="str">
        <f aca="false">IF(OR(A16="",B16=""),"",COUNTIFS('UX Notes'!$A$6:$A$205,A16,'UX Notes'!$B$6:$B$205,B16))</f>
        <v/>
      </c>
      <c r="J16" s="32"/>
      <c r="K16" s="32"/>
      <c r="L16" s="32"/>
    </row>
    <row r="17" customFormat="false" ht="15" hidden="false" customHeight="false" outlineLevel="0" collapsed="false">
      <c r="A17" s="31"/>
      <c r="B17" s="32"/>
      <c r="C17" s="48" t="str">
        <f aca="false">IF(OR(A17="",B17=""),"",IFERROR(1/(1/SUMIFS('Check-in'!$C$6:$C$205,'Check-in'!$A$6:$A$205,A17,'Check-in'!$B$6:$B$205,B17)),""))</f>
        <v/>
      </c>
      <c r="D17" s="33"/>
      <c r="E17" s="49" t="str">
        <f aca="false">IF(OR(C17="",D17=""),"",ROUND((D17-C17)*24,1))</f>
        <v/>
      </c>
      <c r="F17" s="32"/>
      <c r="G17" s="32"/>
      <c r="H17" s="35" t="str">
        <f aca="false">IF(OR(A17="",B17=""),"",COUNTIFS(Bugs!$B$6:$B$305,A17,Bugs!$C$6:$C$305,B17))</f>
        <v/>
      </c>
      <c r="I17" s="35" t="str">
        <f aca="false">IF(OR(A17="",B17=""),"",COUNTIFS('UX Notes'!$A$6:$A$205,A17,'UX Notes'!$B$6:$B$205,B17))</f>
        <v/>
      </c>
      <c r="J17" s="32"/>
      <c r="K17" s="32"/>
      <c r="L17" s="32"/>
    </row>
    <row r="18" customFormat="false" ht="15" hidden="false" customHeight="false" outlineLevel="0" collapsed="false">
      <c r="A18" s="31"/>
      <c r="B18" s="32"/>
      <c r="C18" s="48" t="str">
        <f aca="false">IF(OR(A18="",B18=""),"",IFERROR(1/(1/SUMIFS('Check-in'!$C$6:$C$205,'Check-in'!$A$6:$A$205,A18,'Check-in'!$B$6:$B$205,B18)),""))</f>
        <v/>
      </c>
      <c r="D18" s="33"/>
      <c r="E18" s="49" t="str">
        <f aca="false">IF(OR(C18="",D18=""),"",ROUND((D18-C18)*24,1))</f>
        <v/>
      </c>
      <c r="F18" s="32"/>
      <c r="G18" s="32"/>
      <c r="H18" s="35" t="str">
        <f aca="false">IF(OR(A18="",B18=""),"",COUNTIFS(Bugs!$B$6:$B$305,A18,Bugs!$C$6:$C$305,B18))</f>
        <v/>
      </c>
      <c r="I18" s="35" t="str">
        <f aca="false">IF(OR(A18="",B18=""),"",COUNTIFS('UX Notes'!$A$6:$A$205,A18,'UX Notes'!$B$6:$B$205,B18))</f>
        <v/>
      </c>
      <c r="J18" s="32"/>
      <c r="K18" s="32"/>
      <c r="L18" s="32"/>
    </row>
    <row r="19" customFormat="false" ht="15" hidden="false" customHeight="false" outlineLevel="0" collapsed="false">
      <c r="A19" s="31"/>
      <c r="B19" s="32"/>
      <c r="C19" s="48" t="str">
        <f aca="false">IF(OR(A19="",B19=""),"",IFERROR(1/(1/SUMIFS('Check-in'!$C$6:$C$205,'Check-in'!$A$6:$A$205,A19,'Check-in'!$B$6:$B$205,B19)),""))</f>
        <v/>
      </c>
      <c r="D19" s="33"/>
      <c r="E19" s="49" t="str">
        <f aca="false">IF(OR(C19="",D19=""),"",ROUND((D19-C19)*24,1))</f>
        <v/>
      </c>
      <c r="F19" s="32"/>
      <c r="G19" s="32"/>
      <c r="H19" s="35" t="str">
        <f aca="false">IF(OR(A19="",B19=""),"",COUNTIFS(Bugs!$B$6:$B$305,A19,Bugs!$C$6:$C$305,B19))</f>
        <v/>
      </c>
      <c r="I19" s="35" t="str">
        <f aca="false">IF(OR(A19="",B19=""),"",COUNTIFS('UX Notes'!$A$6:$A$205,A19,'UX Notes'!$B$6:$B$205,B19))</f>
        <v/>
      </c>
      <c r="J19" s="32"/>
      <c r="K19" s="32"/>
      <c r="L19" s="32"/>
    </row>
    <row r="20" customFormat="false" ht="15" hidden="false" customHeight="false" outlineLevel="0" collapsed="false">
      <c r="A20" s="31"/>
      <c r="B20" s="32"/>
      <c r="C20" s="48" t="str">
        <f aca="false">IF(OR(A20="",B20=""),"",IFERROR(1/(1/SUMIFS('Check-in'!$C$6:$C$205,'Check-in'!$A$6:$A$205,A20,'Check-in'!$B$6:$B$205,B20)),""))</f>
        <v/>
      </c>
      <c r="D20" s="33"/>
      <c r="E20" s="49" t="str">
        <f aca="false">IF(OR(C20="",D20=""),"",ROUND((D20-C20)*24,1))</f>
        <v/>
      </c>
      <c r="F20" s="32"/>
      <c r="G20" s="32"/>
      <c r="H20" s="35" t="str">
        <f aca="false">IF(OR(A20="",B20=""),"",COUNTIFS(Bugs!$B$6:$B$305,A20,Bugs!$C$6:$C$305,B20))</f>
        <v/>
      </c>
      <c r="I20" s="35" t="str">
        <f aca="false">IF(OR(A20="",B20=""),"",COUNTIFS('UX Notes'!$A$6:$A$205,A20,'UX Notes'!$B$6:$B$205,B20))</f>
        <v/>
      </c>
      <c r="J20" s="32"/>
      <c r="K20" s="32"/>
      <c r="L20" s="32"/>
    </row>
    <row r="21" customFormat="false" ht="15" hidden="false" customHeight="false" outlineLevel="0" collapsed="false">
      <c r="A21" s="31"/>
      <c r="B21" s="32"/>
      <c r="C21" s="48" t="str">
        <f aca="false">IF(OR(A21="",B21=""),"",IFERROR(1/(1/SUMIFS('Check-in'!$C$6:$C$205,'Check-in'!$A$6:$A$205,A21,'Check-in'!$B$6:$B$205,B21)),""))</f>
        <v/>
      </c>
      <c r="D21" s="33"/>
      <c r="E21" s="49" t="str">
        <f aca="false">IF(OR(C21="",D21=""),"",ROUND((D21-C21)*24,1))</f>
        <v/>
      </c>
      <c r="F21" s="32"/>
      <c r="G21" s="32"/>
      <c r="H21" s="35" t="str">
        <f aca="false">IF(OR(A21="",B21=""),"",COUNTIFS(Bugs!$B$6:$B$305,A21,Bugs!$C$6:$C$305,B21))</f>
        <v/>
      </c>
      <c r="I21" s="35" t="str">
        <f aca="false">IF(OR(A21="",B21=""),"",COUNTIFS('UX Notes'!$A$6:$A$205,A21,'UX Notes'!$B$6:$B$205,B21))</f>
        <v/>
      </c>
      <c r="J21" s="32"/>
      <c r="K21" s="32"/>
      <c r="L21" s="32"/>
    </row>
    <row r="22" customFormat="false" ht="15" hidden="false" customHeight="false" outlineLevel="0" collapsed="false">
      <c r="A22" s="31"/>
      <c r="B22" s="32"/>
      <c r="C22" s="48" t="str">
        <f aca="false">IF(OR(A22="",B22=""),"",IFERROR(1/(1/SUMIFS('Check-in'!$C$6:$C$205,'Check-in'!$A$6:$A$205,A22,'Check-in'!$B$6:$B$205,B22)),""))</f>
        <v/>
      </c>
      <c r="D22" s="33"/>
      <c r="E22" s="49" t="str">
        <f aca="false">IF(OR(C22="",D22=""),"",ROUND((D22-C22)*24,1))</f>
        <v/>
      </c>
      <c r="F22" s="32"/>
      <c r="G22" s="32"/>
      <c r="H22" s="35" t="str">
        <f aca="false">IF(OR(A22="",B22=""),"",COUNTIFS(Bugs!$B$6:$B$305,A22,Bugs!$C$6:$C$305,B22))</f>
        <v/>
      </c>
      <c r="I22" s="35" t="str">
        <f aca="false">IF(OR(A22="",B22=""),"",COUNTIFS('UX Notes'!$A$6:$A$205,A22,'UX Notes'!$B$6:$B$205,B22))</f>
        <v/>
      </c>
      <c r="J22" s="32"/>
      <c r="K22" s="32"/>
      <c r="L22" s="32"/>
    </row>
    <row r="23" customFormat="false" ht="15" hidden="false" customHeight="false" outlineLevel="0" collapsed="false">
      <c r="A23" s="31"/>
      <c r="B23" s="32"/>
      <c r="C23" s="48" t="str">
        <f aca="false">IF(OR(A23="",B23=""),"",IFERROR(1/(1/SUMIFS('Check-in'!$C$6:$C$205,'Check-in'!$A$6:$A$205,A23,'Check-in'!$B$6:$B$205,B23)),""))</f>
        <v/>
      </c>
      <c r="D23" s="33"/>
      <c r="E23" s="49" t="str">
        <f aca="false">IF(OR(C23="",D23=""),"",ROUND((D23-C23)*24,1))</f>
        <v/>
      </c>
      <c r="F23" s="32"/>
      <c r="G23" s="32"/>
      <c r="H23" s="35" t="str">
        <f aca="false">IF(OR(A23="",B23=""),"",COUNTIFS(Bugs!$B$6:$B$305,A23,Bugs!$C$6:$C$305,B23))</f>
        <v/>
      </c>
      <c r="I23" s="35" t="str">
        <f aca="false">IF(OR(A23="",B23=""),"",COUNTIFS('UX Notes'!$A$6:$A$205,A23,'UX Notes'!$B$6:$B$205,B23))</f>
        <v/>
      </c>
      <c r="J23" s="32"/>
      <c r="K23" s="32"/>
      <c r="L23" s="32"/>
    </row>
    <row r="24" customFormat="false" ht="15" hidden="false" customHeight="false" outlineLevel="0" collapsed="false">
      <c r="A24" s="31"/>
      <c r="B24" s="32"/>
      <c r="C24" s="48" t="str">
        <f aca="false">IF(OR(A24="",B24=""),"",IFERROR(1/(1/SUMIFS('Check-in'!$C$6:$C$205,'Check-in'!$A$6:$A$205,A24,'Check-in'!$B$6:$B$205,B24)),""))</f>
        <v/>
      </c>
      <c r="D24" s="33"/>
      <c r="E24" s="49" t="str">
        <f aca="false">IF(OR(C24="",D24=""),"",ROUND((D24-C24)*24,1))</f>
        <v/>
      </c>
      <c r="F24" s="32"/>
      <c r="G24" s="32"/>
      <c r="H24" s="35" t="str">
        <f aca="false">IF(OR(A24="",B24=""),"",COUNTIFS(Bugs!$B$6:$B$305,A24,Bugs!$C$6:$C$305,B24))</f>
        <v/>
      </c>
      <c r="I24" s="35" t="str">
        <f aca="false">IF(OR(A24="",B24=""),"",COUNTIFS('UX Notes'!$A$6:$A$205,A24,'UX Notes'!$B$6:$B$205,B24))</f>
        <v/>
      </c>
      <c r="J24" s="32"/>
      <c r="K24" s="32"/>
      <c r="L24" s="32"/>
    </row>
    <row r="25" customFormat="false" ht="15" hidden="false" customHeight="false" outlineLevel="0" collapsed="false">
      <c r="A25" s="31"/>
      <c r="B25" s="32"/>
      <c r="C25" s="48" t="str">
        <f aca="false">IF(OR(A25="",B25=""),"",IFERROR(1/(1/SUMIFS('Check-in'!$C$6:$C$205,'Check-in'!$A$6:$A$205,A25,'Check-in'!$B$6:$B$205,B25)),""))</f>
        <v/>
      </c>
      <c r="D25" s="33"/>
      <c r="E25" s="49" t="str">
        <f aca="false">IF(OR(C25="",D25=""),"",ROUND((D25-C25)*24,1))</f>
        <v/>
      </c>
      <c r="F25" s="32"/>
      <c r="G25" s="32"/>
      <c r="H25" s="35" t="str">
        <f aca="false">IF(OR(A25="",B25=""),"",COUNTIFS(Bugs!$B$6:$B$305,A25,Bugs!$C$6:$C$305,B25))</f>
        <v/>
      </c>
      <c r="I25" s="35" t="str">
        <f aca="false">IF(OR(A25="",B25=""),"",COUNTIFS('UX Notes'!$A$6:$A$205,A25,'UX Notes'!$B$6:$B$205,B25))</f>
        <v/>
      </c>
      <c r="J25" s="32"/>
      <c r="K25" s="32"/>
      <c r="L25" s="32"/>
    </row>
    <row r="26" customFormat="false" ht="15" hidden="false" customHeight="false" outlineLevel="0" collapsed="false">
      <c r="A26" s="31"/>
      <c r="B26" s="32"/>
      <c r="C26" s="48" t="str">
        <f aca="false">IF(OR(A26="",B26=""),"",IFERROR(1/(1/SUMIFS('Check-in'!$C$6:$C$205,'Check-in'!$A$6:$A$205,A26,'Check-in'!$B$6:$B$205,B26)),""))</f>
        <v/>
      </c>
      <c r="D26" s="33"/>
      <c r="E26" s="49" t="str">
        <f aca="false">IF(OR(C26="",D26=""),"",ROUND((D26-C26)*24,1))</f>
        <v/>
      </c>
      <c r="F26" s="32"/>
      <c r="G26" s="32"/>
      <c r="H26" s="35" t="str">
        <f aca="false">IF(OR(A26="",B26=""),"",COUNTIFS(Bugs!$B$6:$B$305,A26,Bugs!$C$6:$C$305,B26))</f>
        <v/>
      </c>
      <c r="I26" s="35" t="str">
        <f aca="false">IF(OR(A26="",B26=""),"",COUNTIFS('UX Notes'!$A$6:$A$205,A26,'UX Notes'!$B$6:$B$205,B26))</f>
        <v/>
      </c>
      <c r="J26" s="32"/>
      <c r="K26" s="32"/>
      <c r="L26" s="32"/>
    </row>
    <row r="27" customFormat="false" ht="15" hidden="false" customHeight="false" outlineLevel="0" collapsed="false">
      <c r="A27" s="31"/>
      <c r="B27" s="32"/>
      <c r="C27" s="48" t="str">
        <f aca="false">IF(OR(A27="",B27=""),"",IFERROR(1/(1/SUMIFS('Check-in'!$C$6:$C$205,'Check-in'!$A$6:$A$205,A27,'Check-in'!$B$6:$B$205,B27)),""))</f>
        <v/>
      </c>
      <c r="D27" s="33"/>
      <c r="E27" s="49" t="str">
        <f aca="false">IF(OR(C27="",D27=""),"",ROUND((D27-C27)*24,1))</f>
        <v/>
      </c>
      <c r="F27" s="32"/>
      <c r="G27" s="32"/>
      <c r="H27" s="35" t="str">
        <f aca="false">IF(OR(A27="",B27=""),"",COUNTIFS(Bugs!$B$6:$B$305,A27,Bugs!$C$6:$C$305,B27))</f>
        <v/>
      </c>
      <c r="I27" s="35" t="str">
        <f aca="false">IF(OR(A27="",B27=""),"",COUNTIFS('UX Notes'!$A$6:$A$205,A27,'UX Notes'!$B$6:$B$205,B27))</f>
        <v/>
      </c>
      <c r="J27" s="32"/>
      <c r="K27" s="32"/>
      <c r="L27" s="32"/>
    </row>
    <row r="28" customFormat="false" ht="15" hidden="false" customHeight="false" outlineLevel="0" collapsed="false">
      <c r="A28" s="31"/>
      <c r="B28" s="32"/>
      <c r="C28" s="48" t="str">
        <f aca="false">IF(OR(A28="",B28=""),"",IFERROR(1/(1/SUMIFS('Check-in'!$C$6:$C$205,'Check-in'!$A$6:$A$205,A28,'Check-in'!$B$6:$B$205,B28)),""))</f>
        <v/>
      </c>
      <c r="D28" s="33"/>
      <c r="E28" s="49" t="str">
        <f aca="false">IF(OR(C28="",D28=""),"",ROUND((D28-C28)*24,1))</f>
        <v/>
      </c>
      <c r="F28" s="32"/>
      <c r="G28" s="32"/>
      <c r="H28" s="35" t="str">
        <f aca="false">IF(OR(A28="",B28=""),"",COUNTIFS(Bugs!$B$6:$B$305,A28,Bugs!$C$6:$C$305,B28))</f>
        <v/>
      </c>
      <c r="I28" s="35" t="str">
        <f aca="false">IF(OR(A28="",B28=""),"",COUNTIFS('UX Notes'!$A$6:$A$205,A28,'UX Notes'!$B$6:$B$205,B28))</f>
        <v/>
      </c>
      <c r="J28" s="32"/>
      <c r="K28" s="32"/>
      <c r="L28" s="32"/>
    </row>
    <row r="29" customFormat="false" ht="15" hidden="false" customHeight="false" outlineLevel="0" collapsed="false">
      <c r="A29" s="31"/>
      <c r="B29" s="32"/>
      <c r="C29" s="48" t="str">
        <f aca="false">IF(OR(A29="",B29=""),"",IFERROR(1/(1/SUMIFS('Check-in'!$C$6:$C$205,'Check-in'!$A$6:$A$205,A29,'Check-in'!$B$6:$B$205,B29)),""))</f>
        <v/>
      </c>
      <c r="D29" s="33"/>
      <c r="E29" s="49" t="str">
        <f aca="false">IF(OR(C29="",D29=""),"",ROUND((D29-C29)*24,1))</f>
        <v/>
      </c>
      <c r="F29" s="32"/>
      <c r="G29" s="32"/>
      <c r="H29" s="35" t="str">
        <f aca="false">IF(OR(A29="",B29=""),"",COUNTIFS(Bugs!$B$6:$B$305,A29,Bugs!$C$6:$C$305,B29))</f>
        <v/>
      </c>
      <c r="I29" s="35" t="str">
        <f aca="false">IF(OR(A29="",B29=""),"",COUNTIFS('UX Notes'!$A$6:$A$205,A29,'UX Notes'!$B$6:$B$205,B29))</f>
        <v/>
      </c>
      <c r="J29" s="32"/>
      <c r="K29" s="32"/>
      <c r="L29" s="32"/>
    </row>
    <row r="30" customFormat="false" ht="15" hidden="false" customHeight="false" outlineLevel="0" collapsed="false">
      <c r="A30" s="31"/>
      <c r="B30" s="32"/>
      <c r="C30" s="48" t="str">
        <f aca="false">IF(OR(A30="",B30=""),"",IFERROR(1/(1/SUMIFS('Check-in'!$C$6:$C$205,'Check-in'!$A$6:$A$205,A30,'Check-in'!$B$6:$B$205,B30)),""))</f>
        <v/>
      </c>
      <c r="D30" s="33"/>
      <c r="E30" s="49" t="str">
        <f aca="false">IF(OR(C30="",D30=""),"",ROUND((D30-C30)*24,1))</f>
        <v/>
      </c>
      <c r="F30" s="32"/>
      <c r="G30" s="32"/>
      <c r="H30" s="35" t="str">
        <f aca="false">IF(OR(A30="",B30=""),"",COUNTIFS(Bugs!$B$6:$B$305,A30,Bugs!$C$6:$C$305,B30))</f>
        <v/>
      </c>
      <c r="I30" s="35" t="str">
        <f aca="false">IF(OR(A30="",B30=""),"",COUNTIFS('UX Notes'!$A$6:$A$205,A30,'UX Notes'!$B$6:$B$205,B30))</f>
        <v/>
      </c>
      <c r="J30" s="32"/>
      <c r="K30" s="32"/>
      <c r="L30" s="32"/>
    </row>
    <row r="31" customFormat="false" ht="15" hidden="false" customHeight="false" outlineLevel="0" collapsed="false">
      <c r="A31" s="31"/>
      <c r="B31" s="32"/>
      <c r="C31" s="48" t="str">
        <f aca="false">IF(OR(A31="",B31=""),"",IFERROR(1/(1/SUMIFS('Check-in'!$C$6:$C$205,'Check-in'!$A$6:$A$205,A31,'Check-in'!$B$6:$B$205,B31)),""))</f>
        <v/>
      </c>
      <c r="D31" s="33"/>
      <c r="E31" s="49" t="str">
        <f aca="false">IF(OR(C31="",D31=""),"",ROUND((D31-C31)*24,1))</f>
        <v/>
      </c>
      <c r="F31" s="32"/>
      <c r="G31" s="32"/>
      <c r="H31" s="35" t="str">
        <f aca="false">IF(OR(A31="",B31=""),"",COUNTIFS(Bugs!$B$6:$B$305,A31,Bugs!$C$6:$C$305,B31))</f>
        <v/>
      </c>
      <c r="I31" s="35" t="str">
        <f aca="false">IF(OR(A31="",B31=""),"",COUNTIFS('UX Notes'!$A$6:$A$205,A31,'UX Notes'!$B$6:$B$205,B31))</f>
        <v/>
      </c>
      <c r="J31" s="32"/>
      <c r="K31" s="32"/>
      <c r="L31" s="32"/>
    </row>
    <row r="32" customFormat="false" ht="15" hidden="false" customHeight="false" outlineLevel="0" collapsed="false">
      <c r="A32" s="31"/>
      <c r="B32" s="32"/>
      <c r="C32" s="48" t="str">
        <f aca="false">IF(OR(A32="",B32=""),"",IFERROR(1/(1/SUMIFS('Check-in'!$C$6:$C$205,'Check-in'!$A$6:$A$205,A32,'Check-in'!$B$6:$B$205,B32)),""))</f>
        <v/>
      </c>
      <c r="D32" s="33"/>
      <c r="E32" s="49" t="str">
        <f aca="false">IF(OR(C32="",D32=""),"",ROUND((D32-C32)*24,1))</f>
        <v/>
      </c>
      <c r="F32" s="32"/>
      <c r="G32" s="32"/>
      <c r="H32" s="35" t="str">
        <f aca="false">IF(OR(A32="",B32=""),"",COUNTIFS(Bugs!$B$6:$B$305,A32,Bugs!$C$6:$C$305,B32))</f>
        <v/>
      </c>
      <c r="I32" s="35" t="str">
        <f aca="false">IF(OR(A32="",B32=""),"",COUNTIFS('UX Notes'!$A$6:$A$205,A32,'UX Notes'!$B$6:$B$205,B32))</f>
        <v/>
      </c>
      <c r="J32" s="32"/>
      <c r="K32" s="32"/>
      <c r="L32" s="32"/>
    </row>
    <row r="33" customFormat="false" ht="15" hidden="false" customHeight="false" outlineLevel="0" collapsed="false">
      <c r="A33" s="31"/>
      <c r="B33" s="32"/>
      <c r="C33" s="48" t="str">
        <f aca="false">IF(OR(A33="",B33=""),"",IFERROR(1/(1/SUMIFS('Check-in'!$C$6:$C$205,'Check-in'!$A$6:$A$205,A33,'Check-in'!$B$6:$B$205,B33)),""))</f>
        <v/>
      </c>
      <c r="D33" s="33"/>
      <c r="E33" s="49" t="str">
        <f aca="false">IF(OR(C33="",D33=""),"",ROUND((D33-C33)*24,1))</f>
        <v/>
      </c>
      <c r="F33" s="32"/>
      <c r="G33" s="32"/>
      <c r="H33" s="35" t="str">
        <f aca="false">IF(OR(A33="",B33=""),"",COUNTIFS(Bugs!$B$6:$B$305,A33,Bugs!$C$6:$C$305,B33))</f>
        <v/>
      </c>
      <c r="I33" s="35" t="str">
        <f aca="false">IF(OR(A33="",B33=""),"",COUNTIFS('UX Notes'!$A$6:$A$205,A33,'UX Notes'!$B$6:$B$205,B33))</f>
        <v/>
      </c>
      <c r="J33" s="32"/>
      <c r="K33" s="32"/>
      <c r="L33" s="32"/>
    </row>
    <row r="34" customFormat="false" ht="15" hidden="false" customHeight="false" outlineLevel="0" collapsed="false">
      <c r="A34" s="31"/>
      <c r="B34" s="32"/>
      <c r="C34" s="48" t="str">
        <f aca="false">IF(OR(A34="",B34=""),"",IFERROR(1/(1/SUMIFS('Check-in'!$C$6:$C$205,'Check-in'!$A$6:$A$205,A34,'Check-in'!$B$6:$B$205,B34)),""))</f>
        <v/>
      </c>
      <c r="D34" s="33"/>
      <c r="E34" s="49" t="str">
        <f aca="false">IF(OR(C34="",D34=""),"",ROUND((D34-C34)*24,1))</f>
        <v/>
      </c>
      <c r="F34" s="32"/>
      <c r="G34" s="32"/>
      <c r="H34" s="35" t="str">
        <f aca="false">IF(OR(A34="",B34=""),"",COUNTIFS(Bugs!$B$6:$B$305,A34,Bugs!$C$6:$C$305,B34))</f>
        <v/>
      </c>
      <c r="I34" s="35" t="str">
        <f aca="false">IF(OR(A34="",B34=""),"",COUNTIFS('UX Notes'!$A$6:$A$205,A34,'UX Notes'!$B$6:$B$205,B34))</f>
        <v/>
      </c>
      <c r="J34" s="32"/>
      <c r="K34" s="32"/>
      <c r="L34" s="32"/>
    </row>
    <row r="35" customFormat="false" ht="15" hidden="false" customHeight="false" outlineLevel="0" collapsed="false">
      <c r="A35" s="31"/>
      <c r="B35" s="32"/>
      <c r="C35" s="48" t="str">
        <f aca="false">IF(OR(A35="",B35=""),"",IFERROR(1/(1/SUMIFS('Check-in'!$C$6:$C$205,'Check-in'!$A$6:$A$205,A35,'Check-in'!$B$6:$B$205,B35)),""))</f>
        <v/>
      </c>
      <c r="D35" s="33"/>
      <c r="E35" s="49" t="str">
        <f aca="false">IF(OR(C35="",D35=""),"",ROUND((D35-C35)*24,1))</f>
        <v/>
      </c>
      <c r="F35" s="32"/>
      <c r="G35" s="32"/>
      <c r="H35" s="35" t="str">
        <f aca="false">IF(OR(A35="",B35=""),"",COUNTIFS(Bugs!$B$6:$B$305,A35,Bugs!$C$6:$C$305,B35))</f>
        <v/>
      </c>
      <c r="I35" s="35" t="str">
        <f aca="false">IF(OR(A35="",B35=""),"",COUNTIFS('UX Notes'!$A$6:$A$205,A35,'UX Notes'!$B$6:$B$205,B35))</f>
        <v/>
      </c>
      <c r="J35" s="32"/>
      <c r="K35" s="32"/>
      <c r="L35" s="32"/>
    </row>
    <row r="36" customFormat="false" ht="15" hidden="false" customHeight="false" outlineLevel="0" collapsed="false">
      <c r="A36" s="31"/>
      <c r="B36" s="32"/>
      <c r="C36" s="48" t="str">
        <f aca="false">IF(OR(A36="",B36=""),"",IFERROR(1/(1/SUMIFS('Check-in'!$C$6:$C$205,'Check-in'!$A$6:$A$205,A36,'Check-in'!$B$6:$B$205,B36)),""))</f>
        <v/>
      </c>
      <c r="D36" s="33"/>
      <c r="E36" s="49" t="str">
        <f aca="false">IF(OR(C36="",D36=""),"",ROUND((D36-C36)*24,1))</f>
        <v/>
      </c>
      <c r="F36" s="32"/>
      <c r="G36" s="32"/>
      <c r="H36" s="35" t="str">
        <f aca="false">IF(OR(A36="",B36=""),"",COUNTIFS(Bugs!$B$6:$B$305,A36,Bugs!$C$6:$C$305,B36))</f>
        <v/>
      </c>
      <c r="I36" s="35" t="str">
        <f aca="false">IF(OR(A36="",B36=""),"",COUNTIFS('UX Notes'!$A$6:$A$205,A36,'UX Notes'!$B$6:$B$205,B36))</f>
        <v/>
      </c>
      <c r="J36" s="32"/>
      <c r="K36" s="32"/>
      <c r="L36" s="32"/>
    </row>
    <row r="37" customFormat="false" ht="15" hidden="false" customHeight="false" outlineLevel="0" collapsed="false">
      <c r="A37" s="31"/>
      <c r="B37" s="32"/>
      <c r="C37" s="48" t="str">
        <f aca="false">IF(OR(A37="",B37=""),"",IFERROR(1/(1/SUMIFS('Check-in'!$C$6:$C$205,'Check-in'!$A$6:$A$205,A37,'Check-in'!$B$6:$B$205,B37)),""))</f>
        <v/>
      </c>
      <c r="D37" s="33"/>
      <c r="E37" s="49" t="str">
        <f aca="false">IF(OR(C37="",D37=""),"",ROUND((D37-C37)*24,1))</f>
        <v/>
      </c>
      <c r="F37" s="32"/>
      <c r="G37" s="32"/>
      <c r="H37" s="35" t="str">
        <f aca="false">IF(OR(A37="",B37=""),"",COUNTIFS(Bugs!$B$6:$B$305,A37,Bugs!$C$6:$C$305,B37))</f>
        <v/>
      </c>
      <c r="I37" s="35" t="str">
        <f aca="false">IF(OR(A37="",B37=""),"",COUNTIFS('UX Notes'!$A$6:$A$205,A37,'UX Notes'!$B$6:$B$205,B37))</f>
        <v/>
      </c>
      <c r="J37" s="32"/>
      <c r="K37" s="32"/>
      <c r="L37" s="32"/>
    </row>
    <row r="38" customFormat="false" ht="15" hidden="false" customHeight="false" outlineLevel="0" collapsed="false">
      <c r="A38" s="31"/>
      <c r="B38" s="32"/>
      <c r="C38" s="48" t="str">
        <f aca="false">IF(OR(A38="",B38=""),"",IFERROR(1/(1/SUMIFS('Check-in'!$C$6:$C$205,'Check-in'!$A$6:$A$205,A38,'Check-in'!$B$6:$B$205,B38)),""))</f>
        <v/>
      </c>
      <c r="D38" s="33"/>
      <c r="E38" s="49" t="str">
        <f aca="false">IF(OR(C38="",D38=""),"",ROUND((D38-C38)*24,1))</f>
        <v/>
      </c>
      <c r="F38" s="32"/>
      <c r="G38" s="32"/>
      <c r="H38" s="35" t="str">
        <f aca="false">IF(OR(A38="",B38=""),"",COUNTIFS(Bugs!$B$6:$B$305,A38,Bugs!$C$6:$C$305,B38))</f>
        <v/>
      </c>
      <c r="I38" s="35" t="str">
        <f aca="false">IF(OR(A38="",B38=""),"",COUNTIFS('UX Notes'!$A$6:$A$205,A38,'UX Notes'!$B$6:$B$205,B38))</f>
        <v/>
      </c>
      <c r="J38" s="32"/>
      <c r="K38" s="32"/>
      <c r="L38" s="32"/>
    </row>
    <row r="39" customFormat="false" ht="15" hidden="false" customHeight="false" outlineLevel="0" collapsed="false">
      <c r="A39" s="31"/>
      <c r="B39" s="32"/>
      <c r="C39" s="48" t="str">
        <f aca="false">IF(OR(A39="",B39=""),"",IFERROR(1/(1/SUMIFS('Check-in'!$C$6:$C$205,'Check-in'!$A$6:$A$205,A39,'Check-in'!$B$6:$B$205,B39)),""))</f>
        <v/>
      </c>
      <c r="D39" s="33"/>
      <c r="E39" s="49" t="str">
        <f aca="false">IF(OR(C39="",D39=""),"",ROUND((D39-C39)*24,1))</f>
        <v/>
      </c>
      <c r="F39" s="32"/>
      <c r="G39" s="32"/>
      <c r="H39" s="35" t="str">
        <f aca="false">IF(OR(A39="",B39=""),"",COUNTIFS(Bugs!$B$6:$B$305,A39,Bugs!$C$6:$C$305,B39))</f>
        <v/>
      </c>
      <c r="I39" s="35" t="str">
        <f aca="false">IF(OR(A39="",B39=""),"",COUNTIFS('UX Notes'!$A$6:$A$205,A39,'UX Notes'!$B$6:$B$205,B39))</f>
        <v/>
      </c>
      <c r="J39" s="32"/>
      <c r="K39" s="32"/>
      <c r="L39" s="32"/>
    </row>
    <row r="40" customFormat="false" ht="15" hidden="false" customHeight="false" outlineLevel="0" collapsed="false">
      <c r="A40" s="31"/>
      <c r="B40" s="32"/>
      <c r="C40" s="48" t="str">
        <f aca="false">IF(OR(A40="",B40=""),"",IFERROR(1/(1/SUMIFS('Check-in'!$C$6:$C$205,'Check-in'!$A$6:$A$205,A40,'Check-in'!$B$6:$B$205,B40)),""))</f>
        <v/>
      </c>
      <c r="D40" s="33"/>
      <c r="E40" s="49" t="str">
        <f aca="false">IF(OR(C40="",D40=""),"",ROUND((D40-C40)*24,1))</f>
        <v/>
      </c>
      <c r="F40" s="32"/>
      <c r="G40" s="32"/>
      <c r="H40" s="35" t="str">
        <f aca="false">IF(OR(A40="",B40=""),"",COUNTIFS(Bugs!$B$6:$B$305,A40,Bugs!$C$6:$C$305,B40))</f>
        <v/>
      </c>
      <c r="I40" s="35" t="str">
        <f aca="false">IF(OR(A40="",B40=""),"",COUNTIFS('UX Notes'!$A$6:$A$205,A40,'UX Notes'!$B$6:$B$205,B40))</f>
        <v/>
      </c>
      <c r="J40" s="32"/>
      <c r="K40" s="32"/>
      <c r="L40" s="32"/>
    </row>
    <row r="41" customFormat="false" ht="15" hidden="false" customHeight="false" outlineLevel="0" collapsed="false">
      <c r="A41" s="31"/>
      <c r="B41" s="32"/>
      <c r="C41" s="48" t="str">
        <f aca="false">IF(OR(A41="",B41=""),"",IFERROR(1/(1/SUMIFS('Check-in'!$C$6:$C$205,'Check-in'!$A$6:$A$205,A41,'Check-in'!$B$6:$B$205,B41)),""))</f>
        <v/>
      </c>
      <c r="D41" s="33"/>
      <c r="E41" s="49" t="str">
        <f aca="false">IF(OR(C41="",D41=""),"",ROUND((D41-C41)*24,1))</f>
        <v/>
      </c>
      <c r="F41" s="32"/>
      <c r="G41" s="32"/>
      <c r="H41" s="35" t="str">
        <f aca="false">IF(OR(A41="",B41=""),"",COUNTIFS(Bugs!$B$6:$B$305,A41,Bugs!$C$6:$C$305,B41))</f>
        <v/>
      </c>
      <c r="I41" s="35" t="str">
        <f aca="false">IF(OR(A41="",B41=""),"",COUNTIFS('UX Notes'!$A$6:$A$205,A41,'UX Notes'!$B$6:$B$205,B41))</f>
        <v/>
      </c>
      <c r="J41" s="32"/>
      <c r="K41" s="32"/>
      <c r="L41" s="32"/>
    </row>
    <row r="42" customFormat="false" ht="15" hidden="false" customHeight="false" outlineLevel="0" collapsed="false">
      <c r="A42" s="31"/>
      <c r="B42" s="32"/>
      <c r="C42" s="48" t="str">
        <f aca="false">IF(OR(A42="",B42=""),"",IFERROR(1/(1/SUMIFS('Check-in'!$C$6:$C$205,'Check-in'!$A$6:$A$205,A42,'Check-in'!$B$6:$B$205,B42)),""))</f>
        <v/>
      </c>
      <c r="D42" s="33"/>
      <c r="E42" s="49" t="str">
        <f aca="false">IF(OR(C42="",D42=""),"",ROUND((D42-C42)*24,1))</f>
        <v/>
      </c>
      <c r="F42" s="32"/>
      <c r="G42" s="32"/>
      <c r="H42" s="35" t="str">
        <f aca="false">IF(OR(A42="",B42=""),"",COUNTIFS(Bugs!$B$6:$B$305,A42,Bugs!$C$6:$C$305,B42))</f>
        <v/>
      </c>
      <c r="I42" s="35" t="str">
        <f aca="false">IF(OR(A42="",B42=""),"",COUNTIFS('UX Notes'!$A$6:$A$205,A42,'UX Notes'!$B$6:$B$205,B42))</f>
        <v/>
      </c>
      <c r="J42" s="32"/>
      <c r="K42" s="32"/>
      <c r="L42" s="32"/>
    </row>
    <row r="43" customFormat="false" ht="15" hidden="false" customHeight="false" outlineLevel="0" collapsed="false">
      <c r="A43" s="31"/>
      <c r="B43" s="32"/>
      <c r="C43" s="48" t="str">
        <f aca="false">IF(OR(A43="",B43=""),"",IFERROR(1/(1/SUMIFS('Check-in'!$C$6:$C$205,'Check-in'!$A$6:$A$205,A43,'Check-in'!$B$6:$B$205,B43)),""))</f>
        <v/>
      </c>
      <c r="D43" s="33"/>
      <c r="E43" s="49" t="str">
        <f aca="false">IF(OR(C43="",D43=""),"",ROUND((D43-C43)*24,1))</f>
        <v/>
      </c>
      <c r="F43" s="32"/>
      <c r="G43" s="32"/>
      <c r="H43" s="35" t="str">
        <f aca="false">IF(OR(A43="",B43=""),"",COUNTIFS(Bugs!$B$6:$B$305,A43,Bugs!$C$6:$C$305,B43))</f>
        <v/>
      </c>
      <c r="I43" s="35" t="str">
        <f aca="false">IF(OR(A43="",B43=""),"",COUNTIFS('UX Notes'!$A$6:$A$205,A43,'UX Notes'!$B$6:$B$205,B43))</f>
        <v/>
      </c>
      <c r="J43" s="32"/>
      <c r="K43" s="32"/>
      <c r="L43" s="32"/>
    </row>
    <row r="44" customFormat="false" ht="15" hidden="false" customHeight="false" outlineLevel="0" collapsed="false">
      <c r="A44" s="31"/>
      <c r="B44" s="32"/>
      <c r="C44" s="48" t="str">
        <f aca="false">IF(OR(A44="",B44=""),"",IFERROR(1/(1/SUMIFS('Check-in'!$C$6:$C$205,'Check-in'!$A$6:$A$205,A44,'Check-in'!$B$6:$B$205,B44)),""))</f>
        <v/>
      </c>
      <c r="D44" s="33"/>
      <c r="E44" s="49" t="str">
        <f aca="false">IF(OR(C44="",D44=""),"",ROUND((D44-C44)*24,1))</f>
        <v/>
      </c>
      <c r="F44" s="32"/>
      <c r="G44" s="32"/>
      <c r="H44" s="35" t="str">
        <f aca="false">IF(OR(A44="",B44=""),"",COUNTIFS(Bugs!$B$6:$B$305,A44,Bugs!$C$6:$C$305,B44))</f>
        <v/>
      </c>
      <c r="I44" s="35" t="str">
        <f aca="false">IF(OR(A44="",B44=""),"",COUNTIFS('UX Notes'!$A$6:$A$205,A44,'UX Notes'!$B$6:$B$205,B44))</f>
        <v/>
      </c>
      <c r="J44" s="32"/>
      <c r="K44" s="32"/>
      <c r="L44" s="32"/>
    </row>
    <row r="45" customFormat="false" ht="15" hidden="false" customHeight="false" outlineLevel="0" collapsed="false">
      <c r="A45" s="31"/>
      <c r="B45" s="32"/>
      <c r="C45" s="48" t="str">
        <f aca="false">IF(OR(A45="",B45=""),"",IFERROR(1/(1/SUMIFS('Check-in'!$C$6:$C$205,'Check-in'!$A$6:$A$205,A45,'Check-in'!$B$6:$B$205,B45)),""))</f>
        <v/>
      </c>
      <c r="D45" s="33"/>
      <c r="E45" s="49" t="str">
        <f aca="false">IF(OR(C45="",D45=""),"",ROUND((D45-C45)*24,1))</f>
        <v/>
      </c>
      <c r="F45" s="32"/>
      <c r="G45" s="32"/>
      <c r="H45" s="35" t="str">
        <f aca="false">IF(OR(A45="",B45=""),"",COUNTIFS(Bugs!$B$6:$B$305,A45,Bugs!$C$6:$C$305,B45))</f>
        <v/>
      </c>
      <c r="I45" s="35" t="str">
        <f aca="false">IF(OR(A45="",B45=""),"",COUNTIFS('UX Notes'!$A$6:$A$205,A45,'UX Notes'!$B$6:$B$205,B45))</f>
        <v/>
      </c>
      <c r="J45" s="32"/>
      <c r="K45" s="32"/>
      <c r="L45" s="32"/>
    </row>
    <row r="46" customFormat="false" ht="15" hidden="false" customHeight="false" outlineLevel="0" collapsed="false">
      <c r="A46" s="31"/>
      <c r="B46" s="32"/>
      <c r="C46" s="48" t="str">
        <f aca="false">IF(OR(A46="",B46=""),"",IFERROR(1/(1/SUMIFS('Check-in'!$C$6:$C$205,'Check-in'!$A$6:$A$205,A46,'Check-in'!$B$6:$B$205,B46)),""))</f>
        <v/>
      </c>
      <c r="D46" s="33"/>
      <c r="E46" s="49" t="str">
        <f aca="false">IF(OR(C46="",D46=""),"",ROUND((D46-C46)*24,1))</f>
        <v/>
      </c>
      <c r="F46" s="32"/>
      <c r="G46" s="32"/>
      <c r="H46" s="35" t="str">
        <f aca="false">IF(OR(A46="",B46=""),"",COUNTIFS(Bugs!$B$6:$B$305,A46,Bugs!$C$6:$C$305,B46))</f>
        <v/>
      </c>
      <c r="I46" s="35" t="str">
        <f aca="false">IF(OR(A46="",B46=""),"",COUNTIFS('UX Notes'!$A$6:$A$205,A46,'UX Notes'!$B$6:$B$205,B46))</f>
        <v/>
      </c>
      <c r="J46" s="32"/>
      <c r="K46" s="32"/>
      <c r="L46" s="32"/>
    </row>
    <row r="47" customFormat="false" ht="15" hidden="false" customHeight="false" outlineLevel="0" collapsed="false">
      <c r="A47" s="31"/>
      <c r="B47" s="32"/>
      <c r="C47" s="48" t="str">
        <f aca="false">IF(OR(A47="",B47=""),"",IFERROR(1/(1/SUMIFS('Check-in'!$C$6:$C$205,'Check-in'!$A$6:$A$205,A47,'Check-in'!$B$6:$B$205,B47)),""))</f>
        <v/>
      </c>
      <c r="D47" s="33"/>
      <c r="E47" s="49" t="str">
        <f aca="false">IF(OR(C47="",D47=""),"",ROUND((D47-C47)*24,1))</f>
        <v/>
      </c>
      <c r="F47" s="32"/>
      <c r="G47" s="32"/>
      <c r="H47" s="35" t="str">
        <f aca="false">IF(OR(A47="",B47=""),"",COUNTIFS(Bugs!$B$6:$B$305,A47,Bugs!$C$6:$C$305,B47))</f>
        <v/>
      </c>
      <c r="I47" s="35" t="str">
        <f aca="false">IF(OR(A47="",B47=""),"",COUNTIFS('UX Notes'!$A$6:$A$205,A47,'UX Notes'!$B$6:$B$205,B47))</f>
        <v/>
      </c>
      <c r="J47" s="32"/>
      <c r="K47" s="32"/>
      <c r="L47" s="32"/>
    </row>
    <row r="48" customFormat="false" ht="15" hidden="false" customHeight="false" outlineLevel="0" collapsed="false">
      <c r="A48" s="31"/>
      <c r="B48" s="32"/>
      <c r="C48" s="48" t="str">
        <f aca="false">IF(OR(A48="",B48=""),"",IFERROR(1/(1/SUMIFS('Check-in'!$C$6:$C$205,'Check-in'!$A$6:$A$205,A48,'Check-in'!$B$6:$B$205,B48)),""))</f>
        <v/>
      </c>
      <c r="D48" s="33"/>
      <c r="E48" s="49" t="str">
        <f aca="false">IF(OR(C48="",D48=""),"",ROUND((D48-C48)*24,1))</f>
        <v/>
      </c>
      <c r="F48" s="32"/>
      <c r="G48" s="32"/>
      <c r="H48" s="35" t="str">
        <f aca="false">IF(OR(A48="",B48=""),"",COUNTIFS(Bugs!$B$6:$B$305,A48,Bugs!$C$6:$C$305,B48))</f>
        <v/>
      </c>
      <c r="I48" s="35" t="str">
        <f aca="false">IF(OR(A48="",B48=""),"",COUNTIFS('UX Notes'!$A$6:$A$205,A48,'UX Notes'!$B$6:$B$205,B48))</f>
        <v/>
      </c>
      <c r="J48" s="32"/>
      <c r="K48" s="32"/>
      <c r="L48" s="32"/>
    </row>
    <row r="49" customFormat="false" ht="15" hidden="false" customHeight="false" outlineLevel="0" collapsed="false">
      <c r="A49" s="31"/>
      <c r="B49" s="32"/>
      <c r="C49" s="48" t="str">
        <f aca="false">IF(OR(A49="",B49=""),"",IFERROR(1/(1/SUMIFS('Check-in'!$C$6:$C$205,'Check-in'!$A$6:$A$205,A49,'Check-in'!$B$6:$B$205,B49)),""))</f>
        <v/>
      </c>
      <c r="D49" s="33"/>
      <c r="E49" s="49" t="str">
        <f aca="false">IF(OR(C49="",D49=""),"",ROUND((D49-C49)*24,1))</f>
        <v/>
      </c>
      <c r="F49" s="32"/>
      <c r="G49" s="32"/>
      <c r="H49" s="35" t="str">
        <f aca="false">IF(OR(A49="",B49=""),"",COUNTIFS(Bugs!$B$6:$B$305,A49,Bugs!$C$6:$C$305,B49))</f>
        <v/>
      </c>
      <c r="I49" s="35" t="str">
        <f aca="false">IF(OR(A49="",B49=""),"",COUNTIFS('UX Notes'!$A$6:$A$205,A49,'UX Notes'!$B$6:$B$205,B49))</f>
        <v/>
      </c>
      <c r="J49" s="32"/>
      <c r="K49" s="32"/>
      <c r="L49" s="32"/>
    </row>
    <row r="50" customFormat="false" ht="15" hidden="false" customHeight="false" outlineLevel="0" collapsed="false">
      <c r="A50" s="31"/>
      <c r="B50" s="32"/>
      <c r="C50" s="48" t="str">
        <f aca="false">IF(OR(A50="",B50=""),"",IFERROR(1/(1/SUMIFS('Check-in'!$C$6:$C$205,'Check-in'!$A$6:$A$205,A50,'Check-in'!$B$6:$B$205,B50)),""))</f>
        <v/>
      </c>
      <c r="D50" s="33"/>
      <c r="E50" s="49" t="str">
        <f aca="false">IF(OR(C50="",D50=""),"",ROUND((D50-C50)*24,1))</f>
        <v/>
      </c>
      <c r="F50" s="32"/>
      <c r="G50" s="32"/>
      <c r="H50" s="35" t="str">
        <f aca="false">IF(OR(A50="",B50=""),"",COUNTIFS(Bugs!$B$6:$B$305,A50,Bugs!$C$6:$C$305,B50))</f>
        <v/>
      </c>
      <c r="I50" s="35" t="str">
        <f aca="false">IF(OR(A50="",B50=""),"",COUNTIFS('UX Notes'!$A$6:$A$205,A50,'UX Notes'!$B$6:$B$205,B50))</f>
        <v/>
      </c>
      <c r="J50" s="32"/>
      <c r="K50" s="32"/>
      <c r="L50" s="32"/>
    </row>
    <row r="51" customFormat="false" ht="15" hidden="false" customHeight="false" outlineLevel="0" collapsed="false">
      <c r="A51" s="31"/>
      <c r="B51" s="32"/>
      <c r="C51" s="48" t="str">
        <f aca="false">IF(OR(A51="",B51=""),"",IFERROR(1/(1/SUMIFS('Check-in'!$C$6:$C$205,'Check-in'!$A$6:$A$205,A51,'Check-in'!$B$6:$B$205,B51)),""))</f>
        <v/>
      </c>
      <c r="D51" s="33"/>
      <c r="E51" s="49" t="str">
        <f aca="false">IF(OR(C51="",D51=""),"",ROUND((D51-C51)*24,1))</f>
        <v/>
      </c>
      <c r="F51" s="32"/>
      <c r="G51" s="32"/>
      <c r="H51" s="35" t="str">
        <f aca="false">IF(OR(A51="",B51=""),"",COUNTIFS(Bugs!$B$6:$B$305,A51,Bugs!$C$6:$C$305,B51))</f>
        <v/>
      </c>
      <c r="I51" s="35" t="str">
        <f aca="false">IF(OR(A51="",B51=""),"",COUNTIFS('UX Notes'!$A$6:$A$205,A51,'UX Notes'!$B$6:$B$205,B51))</f>
        <v/>
      </c>
      <c r="J51" s="32"/>
      <c r="K51" s="32"/>
      <c r="L51" s="32"/>
    </row>
    <row r="52" customFormat="false" ht="15" hidden="false" customHeight="false" outlineLevel="0" collapsed="false">
      <c r="A52" s="31"/>
      <c r="B52" s="32"/>
      <c r="C52" s="48" t="str">
        <f aca="false">IF(OR(A52="",B52=""),"",IFERROR(1/(1/SUMIFS('Check-in'!$C$6:$C$205,'Check-in'!$A$6:$A$205,A52,'Check-in'!$B$6:$B$205,B52)),""))</f>
        <v/>
      </c>
      <c r="D52" s="33"/>
      <c r="E52" s="49" t="str">
        <f aca="false">IF(OR(C52="",D52=""),"",ROUND((D52-C52)*24,1))</f>
        <v/>
      </c>
      <c r="F52" s="32"/>
      <c r="G52" s="32"/>
      <c r="H52" s="35" t="str">
        <f aca="false">IF(OR(A52="",B52=""),"",COUNTIFS(Bugs!$B$6:$B$305,A52,Bugs!$C$6:$C$305,B52))</f>
        <v/>
      </c>
      <c r="I52" s="35" t="str">
        <f aca="false">IF(OR(A52="",B52=""),"",COUNTIFS('UX Notes'!$A$6:$A$205,A52,'UX Notes'!$B$6:$B$205,B52))</f>
        <v/>
      </c>
      <c r="J52" s="32"/>
      <c r="K52" s="32"/>
      <c r="L52" s="32"/>
    </row>
    <row r="53" customFormat="false" ht="15" hidden="false" customHeight="false" outlineLevel="0" collapsed="false">
      <c r="A53" s="31"/>
      <c r="B53" s="32"/>
      <c r="C53" s="48" t="str">
        <f aca="false">IF(OR(A53="",B53=""),"",IFERROR(1/(1/SUMIFS('Check-in'!$C$6:$C$205,'Check-in'!$A$6:$A$205,A53,'Check-in'!$B$6:$B$205,B53)),""))</f>
        <v/>
      </c>
      <c r="D53" s="33"/>
      <c r="E53" s="49" t="str">
        <f aca="false">IF(OR(C53="",D53=""),"",ROUND((D53-C53)*24,1))</f>
        <v/>
      </c>
      <c r="F53" s="32"/>
      <c r="G53" s="32"/>
      <c r="H53" s="35" t="str">
        <f aca="false">IF(OR(A53="",B53=""),"",COUNTIFS(Bugs!$B$6:$B$305,A53,Bugs!$C$6:$C$305,B53))</f>
        <v/>
      </c>
      <c r="I53" s="35" t="str">
        <f aca="false">IF(OR(A53="",B53=""),"",COUNTIFS('UX Notes'!$A$6:$A$205,A53,'UX Notes'!$B$6:$B$205,B53))</f>
        <v/>
      </c>
      <c r="J53" s="32"/>
      <c r="K53" s="32"/>
      <c r="L53" s="32"/>
    </row>
    <row r="54" customFormat="false" ht="15" hidden="false" customHeight="false" outlineLevel="0" collapsed="false">
      <c r="A54" s="31"/>
      <c r="B54" s="32"/>
      <c r="C54" s="48" t="str">
        <f aca="false">IF(OR(A54="",B54=""),"",IFERROR(1/(1/SUMIFS('Check-in'!$C$6:$C$205,'Check-in'!$A$6:$A$205,A54,'Check-in'!$B$6:$B$205,B54)),""))</f>
        <v/>
      </c>
      <c r="D54" s="33"/>
      <c r="E54" s="49" t="str">
        <f aca="false">IF(OR(C54="",D54=""),"",ROUND((D54-C54)*24,1))</f>
        <v/>
      </c>
      <c r="F54" s="32"/>
      <c r="G54" s="32"/>
      <c r="H54" s="35" t="str">
        <f aca="false">IF(OR(A54="",B54=""),"",COUNTIFS(Bugs!$B$6:$B$305,A54,Bugs!$C$6:$C$305,B54))</f>
        <v/>
      </c>
      <c r="I54" s="35" t="str">
        <f aca="false">IF(OR(A54="",B54=""),"",COUNTIFS('UX Notes'!$A$6:$A$205,A54,'UX Notes'!$B$6:$B$205,B54))</f>
        <v/>
      </c>
      <c r="J54" s="32"/>
      <c r="K54" s="32"/>
      <c r="L54" s="32"/>
    </row>
    <row r="55" customFormat="false" ht="15" hidden="false" customHeight="false" outlineLevel="0" collapsed="false">
      <c r="A55" s="31"/>
      <c r="B55" s="32"/>
      <c r="C55" s="48" t="str">
        <f aca="false">IF(OR(A55="",B55=""),"",IFERROR(1/(1/SUMIFS('Check-in'!$C$6:$C$205,'Check-in'!$A$6:$A$205,A55,'Check-in'!$B$6:$B$205,B55)),""))</f>
        <v/>
      </c>
      <c r="D55" s="33"/>
      <c r="E55" s="49" t="str">
        <f aca="false">IF(OR(C55="",D55=""),"",ROUND((D55-C55)*24,1))</f>
        <v/>
      </c>
      <c r="F55" s="32"/>
      <c r="G55" s="32"/>
      <c r="H55" s="35" t="str">
        <f aca="false">IF(OR(A55="",B55=""),"",COUNTIFS(Bugs!$B$6:$B$305,A55,Bugs!$C$6:$C$305,B55))</f>
        <v/>
      </c>
      <c r="I55" s="35" t="str">
        <f aca="false">IF(OR(A55="",B55=""),"",COUNTIFS('UX Notes'!$A$6:$A$205,A55,'UX Notes'!$B$6:$B$205,B55))</f>
        <v/>
      </c>
      <c r="J55" s="32"/>
      <c r="K55" s="32"/>
      <c r="L55" s="32"/>
    </row>
    <row r="56" customFormat="false" ht="15" hidden="false" customHeight="false" outlineLevel="0" collapsed="false">
      <c r="A56" s="31"/>
      <c r="B56" s="32"/>
      <c r="C56" s="48" t="str">
        <f aca="false">IF(OR(A56="",B56=""),"",IFERROR(1/(1/SUMIFS('Check-in'!$C$6:$C$205,'Check-in'!$A$6:$A$205,A56,'Check-in'!$B$6:$B$205,B56)),""))</f>
        <v/>
      </c>
      <c r="D56" s="33"/>
      <c r="E56" s="49" t="str">
        <f aca="false">IF(OR(C56="",D56=""),"",ROUND((D56-C56)*24,1))</f>
        <v/>
      </c>
      <c r="F56" s="32"/>
      <c r="G56" s="32"/>
      <c r="H56" s="35" t="str">
        <f aca="false">IF(OR(A56="",B56=""),"",COUNTIFS(Bugs!$B$6:$B$305,A56,Bugs!$C$6:$C$305,B56))</f>
        <v/>
      </c>
      <c r="I56" s="35" t="str">
        <f aca="false">IF(OR(A56="",B56=""),"",COUNTIFS('UX Notes'!$A$6:$A$205,A56,'UX Notes'!$B$6:$B$205,B56))</f>
        <v/>
      </c>
      <c r="J56" s="32"/>
      <c r="K56" s="32"/>
      <c r="L56" s="32"/>
    </row>
    <row r="57" customFormat="false" ht="15" hidden="false" customHeight="false" outlineLevel="0" collapsed="false">
      <c r="A57" s="31"/>
      <c r="B57" s="32"/>
      <c r="C57" s="48" t="str">
        <f aca="false">IF(OR(A57="",B57=""),"",IFERROR(1/(1/SUMIFS('Check-in'!$C$6:$C$205,'Check-in'!$A$6:$A$205,A57,'Check-in'!$B$6:$B$205,B57)),""))</f>
        <v/>
      </c>
      <c r="D57" s="33"/>
      <c r="E57" s="49" t="str">
        <f aca="false">IF(OR(C57="",D57=""),"",ROUND((D57-C57)*24,1))</f>
        <v/>
      </c>
      <c r="F57" s="32"/>
      <c r="G57" s="32"/>
      <c r="H57" s="35" t="str">
        <f aca="false">IF(OR(A57="",B57=""),"",COUNTIFS(Bugs!$B$6:$B$305,A57,Bugs!$C$6:$C$305,B57))</f>
        <v/>
      </c>
      <c r="I57" s="35" t="str">
        <f aca="false">IF(OR(A57="",B57=""),"",COUNTIFS('UX Notes'!$A$6:$A$205,A57,'UX Notes'!$B$6:$B$205,B57))</f>
        <v/>
      </c>
      <c r="J57" s="32"/>
      <c r="K57" s="32"/>
      <c r="L57" s="32"/>
    </row>
    <row r="58" customFormat="false" ht="15" hidden="false" customHeight="false" outlineLevel="0" collapsed="false">
      <c r="A58" s="31"/>
      <c r="B58" s="32"/>
      <c r="C58" s="48" t="str">
        <f aca="false">IF(OR(A58="",B58=""),"",IFERROR(1/(1/SUMIFS('Check-in'!$C$6:$C$205,'Check-in'!$A$6:$A$205,A58,'Check-in'!$B$6:$B$205,B58)),""))</f>
        <v/>
      </c>
      <c r="D58" s="33"/>
      <c r="E58" s="49" t="str">
        <f aca="false">IF(OR(C58="",D58=""),"",ROUND((D58-C58)*24,1))</f>
        <v/>
      </c>
      <c r="F58" s="32"/>
      <c r="G58" s="32"/>
      <c r="H58" s="35" t="str">
        <f aca="false">IF(OR(A58="",B58=""),"",COUNTIFS(Bugs!$B$6:$B$305,A58,Bugs!$C$6:$C$305,B58))</f>
        <v/>
      </c>
      <c r="I58" s="35" t="str">
        <f aca="false">IF(OR(A58="",B58=""),"",COUNTIFS('UX Notes'!$A$6:$A$205,A58,'UX Notes'!$B$6:$B$205,B58))</f>
        <v/>
      </c>
      <c r="J58" s="32"/>
      <c r="K58" s="32"/>
      <c r="L58" s="32"/>
    </row>
    <row r="59" customFormat="false" ht="15" hidden="false" customHeight="false" outlineLevel="0" collapsed="false">
      <c r="A59" s="31"/>
      <c r="B59" s="32"/>
      <c r="C59" s="48" t="str">
        <f aca="false">IF(OR(A59="",B59=""),"",IFERROR(1/(1/SUMIFS('Check-in'!$C$6:$C$205,'Check-in'!$A$6:$A$205,A59,'Check-in'!$B$6:$B$205,B59)),""))</f>
        <v/>
      </c>
      <c r="D59" s="33"/>
      <c r="E59" s="49" t="str">
        <f aca="false">IF(OR(C59="",D59=""),"",ROUND((D59-C59)*24,1))</f>
        <v/>
      </c>
      <c r="F59" s="32"/>
      <c r="G59" s="32"/>
      <c r="H59" s="35" t="str">
        <f aca="false">IF(OR(A59="",B59=""),"",COUNTIFS(Bugs!$B$6:$B$305,A59,Bugs!$C$6:$C$305,B59))</f>
        <v/>
      </c>
      <c r="I59" s="35" t="str">
        <f aca="false">IF(OR(A59="",B59=""),"",COUNTIFS('UX Notes'!$A$6:$A$205,A59,'UX Notes'!$B$6:$B$205,B59))</f>
        <v/>
      </c>
      <c r="J59" s="32"/>
      <c r="K59" s="32"/>
      <c r="L59" s="32"/>
    </row>
    <row r="60" customFormat="false" ht="15" hidden="false" customHeight="false" outlineLevel="0" collapsed="false">
      <c r="A60" s="31"/>
      <c r="B60" s="32"/>
      <c r="C60" s="48" t="str">
        <f aca="false">IF(OR(A60="",B60=""),"",IFERROR(1/(1/SUMIFS('Check-in'!$C$6:$C$205,'Check-in'!$A$6:$A$205,A60,'Check-in'!$B$6:$B$205,B60)),""))</f>
        <v/>
      </c>
      <c r="D60" s="33"/>
      <c r="E60" s="49" t="str">
        <f aca="false">IF(OR(C60="",D60=""),"",ROUND((D60-C60)*24,1))</f>
        <v/>
      </c>
      <c r="F60" s="32"/>
      <c r="G60" s="32"/>
      <c r="H60" s="35" t="str">
        <f aca="false">IF(OR(A60="",B60=""),"",COUNTIFS(Bugs!$B$6:$B$305,A60,Bugs!$C$6:$C$305,B60))</f>
        <v/>
      </c>
      <c r="I60" s="35" t="str">
        <f aca="false">IF(OR(A60="",B60=""),"",COUNTIFS('UX Notes'!$A$6:$A$205,A60,'UX Notes'!$B$6:$B$205,B60))</f>
        <v/>
      </c>
      <c r="J60" s="32"/>
      <c r="K60" s="32"/>
      <c r="L60" s="32"/>
    </row>
    <row r="61" customFormat="false" ht="15" hidden="false" customHeight="false" outlineLevel="0" collapsed="false">
      <c r="A61" s="31"/>
      <c r="B61" s="32"/>
      <c r="C61" s="48" t="str">
        <f aca="false">IF(OR(A61="",B61=""),"",IFERROR(1/(1/SUMIFS('Check-in'!$C$6:$C$205,'Check-in'!$A$6:$A$205,A61,'Check-in'!$B$6:$B$205,B61)),""))</f>
        <v/>
      </c>
      <c r="D61" s="33"/>
      <c r="E61" s="49" t="str">
        <f aca="false">IF(OR(C61="",D61=""),"",ROUND((D61-C61)*24,1))</f>
        <v/>
      </c>
      <c r="F61" s="32"/>
      <c r="G61" s="32"/>
      <c r="H61" s="35" t="str">
        <f aca="false">IF(OR(A61="",B61=""),"",COUNTIFS(Bugs!$B$6:$B$305,A61,Bugs!$C$6:$C$305,B61))</f>
        <v/>
      </c>
      <c r="I61" s="35" t="str">
        <f aca="false">IF(OR(A61="",B61=""),"",COUNTIFS('UX Notes'!$A$6:$A$205,A61,'UX Notes'!$B$6:$B$205,B61))</f>
        <v/>
      </c>
      <c r="J61" s="32"/>
      <c r="K61" s="32"/>
      <c r="L61" s="32"/>
    </row>
    <row r="62" customFormat="false" ht="15" hidden="false" customHeight="false" outlineLevel="0" collapsed="false">
      <c r="A62" s="31"/>
      <c r="B62" s="32"/>
      <c r="C62" s="48" t="str">
        <f aca="false">IF(OR(A62="",B62=""),"",IFERROR(1/(1/SUMIFS('Check-in'!$C$6:$C$205,'Check-in'!$A$6:$A$205,A62,'Check-in'!$B$6:$B$205,B62)),""))</f>
        <v/>
      </c>
      <c r="D62" s="33"/>
      <c r="E62" s="49" t="str">
        <f aca="false">IF(OR(C62="",D62=""),"",ROUND((D62-C62)*24,1))</f>
        <v/>
      </c>
      <c r="F62" s="32"/>
      <c r="G62" s="32"/>
      <c r="H62" s="35" t="str">
        <f aca="false">IF(OR(A62="",B62=""),"",COUNTIFS(Bugs!$B$6:$B$305,A62,Bugs!$C$6:$C$305,B62))</f>
        <v/>
      </c>
      <c r="I62" s="35" t="str">
        <f aca="false">IF(OR(A62="",B62=""),"",COUNTIFS('UX Notes'!$A$6:$A$205,A62,'UX Notes'!$B$6:$B$205,B62))</f>
        <v/>
      </c>
      <c r="J62" s="32"/>
      <c r="K62" s="32"/>
      <c r="L62" s="32"/>
    </row>
    <row r="63" customFormat="false" ht="15" hidden="false" customHeight="false" outlineLevel="0" collapsed="false">
      <c r="A63" s="31"/>
      <c r="B63" s="32"/>
      <c r="C63" s="48" t="str">
        <f aca="false">IF(OR(A63="",B63=""),"",IFERROR(1/(1/SUMIFS('Check-in'!$C$6:$C$205,'Check-in'!$A$6:$A$205,A63,'Check-in'!$B$6:$B$205,B63)),""))</f>
        <v/>
      </c>
      <c r="D63" s="33"/>
      <c r="E63" s="49" t="str">
        <f aca="false">IF(OR(C63="",D63=""),"",ROUND((D63-C63)*24,1))</f>
        <v/>
      </c>
      <c r="F63" s="32"/>
      <c r="G63" s="32"/>
      <c r="H63" s="35" t="str">
        <f aca="false">IF(OR(A63="",B63=""),"",COUNTIFS(Bugs!$B$6:$B$305,A63,Bugs!$C$6:$C$305,B63))</f>
        <v/>
      </c>
      <c r="I63" s="35" t="str">
        <f aca="false">IF(OR(A63="",B63=""),"",COUNTIFS('UX Notes'!$A$6:$A$205,A63,'UX Notes'!$B$6:$B$205,B63))</f>
        <v/>
      </c>
      <c r="J63" s="32"/>
      <c r="K63" s="32"/>
      <c r="L63" s="32"/>
    </row>
    <row r="64" customFormat="false" ht="15" hidden="false" customHeight="false" outlineLevel="0" collapsed="false">
      <c r="A64" s="31"/>
      <c r="B64" s="32"/>
      <c r="C64" s="48" t="str">
        <f aca="false">IF(OR(A64="",B64=""),"",IFERROR(1/(1/SUMIFS('Check-in'!$C$6:$C$205,'Check-in'!$A$6:$A$205,A64,'Check-in'!$B$6:$B$205,B64)),""))</f>
        <v/>
      </c>
      <c r="D64" s="33"/>
      <c r="E64" s="49" t="str">
        <f aca="false">IF(OR(C64="",D64=""),"",ROUND((D64-C64)*24,1))</f>
        <v/>
      </c>
      <c r="F64" s="32"/>
      <c r="G64" s="32"/>
      <c r="H64" s="35" t="str">
        <f aca="false">IF(OR(A64="",B64=""),"",COUNTIFS(Bugs!$B$6:$B$305,A64,Bugs!$C$6:$C$305,B64))</f>
        <v/>
      </c>
      <c r="I64" s="35" t="str">
        <f aca="false">IF(OR(A64="",B64=""),"",COUNTIFS('UX Notes'!$A$6:$A$205,A64,'UX Notes'!$B$6:$B$205,B64))</f>
        <v/>
      </c>
      <c r="J64" s="32"/>
      <c r="K64" s="32"/>
      <c r="L64" s="32"/>
    </row>
    <row r="65" customFormat="false" ht="15" hidden="false" customHeight="false" outlineLevel="0" collapsed="false">
      <c r="A65" s="31"/>
      <c r="B65" s="32"/>
      <c r="C65" s="48" t="str">
        <f aca="false">IF(OR(A65="",B65=""),"",IFERROR(1/(1/SUMIFS('Check-in'!$C$6:$C$205,'Check-in'!$A$6:$A$205,A65,'Check-in'!$B$6:$B$205,B65)),""))</f>
        <v/>
      </c>
      <c r="D65" s="33"/>
      <c r="E65" s="49" t="str">
        <f aca="false">IF(OR(C65="",D65=""),"",ROUND((D65-C65)*24,1))</f>
        <v/>
      </c>
      <c r="F65" s="32"/>
      <c r="G65" s="32"/>
      <c r="H65" s="35" t="str">
        <f aca="false">IF(OR(A65="",B65=""),"",COUNTIFS(Bugs!$B$6:$B$305,A65,Bugs!$C$6:$C$305,B65))</f>
        <v/>
      </c>
      <c r="I65" s="35" t="str">
        <f aca="false">IF(OR(A65="",B65=""),"",COUNTIFS('UX Notes'!$A$6:$A$205,A65,'UX Notes'!$B$6:$B$205,B65))</f>
        <v/>
      </c>
      <c r="J65" s="32"/>
      <c r="K65" s="32"/>
      <c r="L65" s="32"/>
    </row>
    <row r="66" customFormat="false" ht="15" hidden="false" customHeight="false" outlineLevel="0" collapsed="false">
      <c r="A66" s="31"/>
      <c r="B66" s="32"/>
      <c r="C66" s="48" t="str">
        <f aca="false">IF(OR(A66="",B66=""),"",IFERROR(1/(1/SUMIFS('Check-in'!$C$6:$C$205,'Check-in'!$A$6:$A$205,A66,'Check-in'!$B$6:$B$205,B66)),""))</f>
        <v/>
      </c>
      <c r="D66" s="33"/>
      <c r="E66" s="49" t="str">
        <f aca="false">IF(OR(C66="",D66=""),"",ROUND((D66-C66)*24,1))</f>
        <v/>
      </c>
      <c r="F66" s="32"/>
      <c r="G66" s="32"/>
      <c r="H66" s="35" t="str">
        <f aca="false">IF(OR(A66="",B66=""),"",COUNTIFS(Bugs!$B$6:$B$305,A66,Bugs!$C$6:$C$305,B66))</f>
        <v/>
      </c>
      <c r="I66" s="35" t="str">
        <f aca="false">IF(OR(A66="",B66=""),"",COUNTIFS('UX Notes'!$A$6:$A$205,A66,'UX Notes'!$B$6:$B$205,B66))</f>
        <v/>
      </c>
      <c r="J66" s="32"/>
      <c r="K66" s="32"/>
      <c r="L66" s="32"/>
    </row>
    <row r="67" customFormat="false" ht="15" hidden="false" customHeight="false" outlineLevel="0" collapsed="false">
      <c r="A67" s="31"/>
      <c r="B67" s="32"/>
      <c r="C67" s="48" t="str">
        <f aca="false">IF(OR(A67="",B67=""),"",IFERROR(1/(1/SUMIFS('Check-in'!$C$6:$C$205,'Check-in'!$A$6:$A$205,A67,'Check-in'!$B$6:$B$205,B67)),""))</f>
        <v/>
      </c>
      <c r="D67" s="33"/>
      <c r="E67" s="49" t="str">
        <f aca="false">IF(OR(C67="",D67=""),"",ROUND((D67-C67)*24,1))</f>
        <v/>
      </c>
      <c r="F67" s="32"/>
      <c r="G67" s="32"/>
      <c r="H67" s="35" t="str">
        <f aca="false">IF(OR(A67="",B67=""),"",COUNTIFS(Bugs!$B$6:$B$305,A67,Bugs!$C$6:$C$305,B67))</f>
        <v/>
      </c>
      <c r="I67" s="35" t="str">
        <f aca="false">IF(OR(A67="",B67=""),"",COUNTIFS('UX Notes'!$A$6:$A$205,A67,'UX Notes'!$B$6:$B$205,B67))</f>
        <v/>
      </c>
      <c r="J67" s="32"/>
      <c r="K67" s="32"/>
      <c r="L67" s="32"/>
    </row>
    <row r="68" customFormat="false" ht="15" hidden="false" customHeight="false" outlineLevel="0" collapsed="false">
      <c r="A68" s="31"/>
      <c r="B68" s="32"/>
      <c r="C68" s="48" t="str">
        <f aca="false">IF(OR(A68="",B68=""),"",IFERROR(1/(1/SUMIFS('Check-in'!$C$6:$C$205,'Check-in'!$A$6:$A$205,A68,'Check-in'!$B$6:$B$205,B68)),""))</f>
        <v/>
      </c>
      <c r="D68" s="33"/>
      <c r="E68" s="49" t="str">
        <f aca="false">IF(OR(C68="",D68=""),"",ROUND((D68-C68)*24,1))</f>
        <v/>
      </c>
      <c r="F68" s="32"/>
      <c r="G68" s="32"/>
      <c r="H68" s="35" t="str">
        <f aca="false">IF(OR(A68="",B68=""),"",COUNTIFS(Bugs!$B$6:$B$305,A68,Bugs!$C$6:$C$305,B68))</f>
        <v/>
      </c>
      <c r="I68" s="35" t="str">
        <f aca="false">IF(OR(A68="",B68=""),"",COUNTIFS('UX Notes'!$A$6:$A$205,A68,'UX Notes'!$B$6:$B$205,B68))</f>
        <v/>
      </c>
      <c r="J68" s="32"/>
      <c r="K68" s="32"/>
      <c r="L68" s="32"/>
    </row>
    <row r="69" customFormat="false" ht="15" hidden="false" customHeight="false" outlineLevel="0" collapsed="false">
      <c r="A69" s="31"/>
      <c r="B69" s="32"/>
      <c r="C69" s="48" t="str">
        <f aca="false">IF(OR(A69="",B69=""),"",IFERROR(1/(1/SUMIFS('Check-in'!$C$6:$C$205,'Check-in'!$A$6:$A$205,A69,'Check-in'!$B$6:$B$205,B69)),""))</f>
        <v/>
      </c>
      <c r="D69" s="33"/>
      <c r="E69" s="49" t="str">
        <f aca="false">IF(OR(C69="",D69=""),"",ROUND((D69-C69)*24,1))</f>
        <v/>
      </c>
      <c r="F69" s="32"/>
      <c r="G69" s="32"/>
      <c r="H69" s="35" t="str">
        <f aca="false">IF(OR(A69="",B69=""),"",COUNTIFS(Bugs!$B$6:$B$305,A69,Bugs!$C$6:$C$305,B69))</f>
        <v/>
      </c>
      <c r="I69" s="35" t="str">
        <f aca="false">IF(OR(A69="",B69=""),"",COUNTIFS('UX Notes'!$A$6:$A$205,A69,'UX Notes'!$B$6:$B$205,B69))</f>
        <v/>
      </c>
      <c r="J69" s="32"/>
      <c r="K69" s="32"/>
      <c r="L69" s="32"/>
    </row>
    <row r="70" customFormat="false" ht="15" hidden="false" customHeight="false" outlineLevel="0" collapsed="false">
      <c r="A70" s="31"/>
      <c r="B70" s="32"/>
      <c r="C70" s="48" t="str">
        <f aca="false">IF(OR(A70="",B70=""),"",IFERROR(1/(1/SUMIFS('Check-in'!$C$6:$C$205,'Check-in'!$A$6:$A$205,A70,'Check-in'!$B$6:$B$205,B70)),""))</f>
        <v/>
      </c>
      <c r="D70" s="33"/>
      <c r="E70" s="49" t="str">
        <f aca="false">IF(OR(C70="",D70=""),"",ROUND((D70-C70)*24,1))</f>
        <v/>
      </c>
      <c r="F70" s="32"/>
      <c r="G70" s="32"/>
      <c r="H70" s="35" t="str">
        <f aca="false">IF(OR(A70="",B70=""),"",COUNTIFS(Bugs!$B$6:$B$305,A70,Bugs!$C$6:$C$305,B70))</f>
        <v/>
      </c>
      <c r="I70" s="35" t="str">
        <f aca="false">IF(OR(A70="",B70=""),"",COUNTIFS('UX Notes'!$A$6:$A$205,A70,'UX Notes'!$B$6:$B$205,B70))</f>
        <v/>
      </c>
      <c r="J70" s="32"/>
      <c r="K70" s="32"/>
      <c r="L70" s="32"/>
    </row>
    <row r="71" customFormat="false" ht="15" hidden="false" customHeight="false" outlineLevel="0" collapsed="false">
      <c r="A71" s="31"/>
      <c r="B71" s="32"/>
      <c r="C71" s="48" t="str">
        <f aca="false">IF(OR(A71="",B71=""),"",IFERROR(1/(1/SUMIFS('Check-in'!$C$6:$C$205,'Check-in'!$A$6:$A$205,A71,'Check-in'!$B$6:$B$205,B71)),""))</f>
        <v/>
      </c>
      <c r="D71" s="33"/>
      <c r="E71" s="49" t="str">
        <f aca="false">IF(OR(C71="",D71=""),"",ROUND((D71-C71)*24,1))</f>
        <v/>
      </c>
      <c r="F71" s="32"/>
      <c r="G71" s="32"/>
      <c r="H71" s="35" t="str">
        <f aca="false">IF(OR(A71="",B71=""),"",COUNTIFS(Bugs!$B$6:$B$305,A71,Bugs!$C$6:$C$305,B71))</f>
        <v/>
      </c>
      <c r="I71" s="35" t="str">
        <f aca="false">IF(OR(A71="",B71=""),"",COUNTIFS('UX Notes'!$A$6:$A$205,A71,'UX Notes'!$B$6:$B$205,B71))</f>
        <v/>
      </c>
      <c r="J71" s="32"/>
      <c r="K71" s="32"/>
      <c r="L71" s="32"/>
    </row>
    <row r="72" customFormat="false" ht="15" hidden="false" customHeight="false" outlineLevel="0" collapsed="false">
      <c r="A72" s="31"/>
      <c r="B72" s="32"/>
      <c r="C72" s="48" t="str">
        <f aca="false">IF(OR(A72="",B72=""),"",IFERROR(1/(1/SUMIFS('Check-in'!$C$6:$C$205,'Check-in'!$A$6:$A$205,A72,'Check-in'!$B$6:$B$205,B72)),""))</f>
        <v/>
      </c>
      <c r="D72" s="33"/>
      <c r="E72" s="49" t="str">
        <f aca="false">IF(OR(C72="",D72=""),"",ROUND((D72-C72)*24,1))</f>
        <v/>
      </c>
      <c r="F72" s="32"/>
      <c r="G72" s="32"/>
      <c r="H72" s="35" t="str">
        <f aca="false">IF(OR(A72="",B72=""),"",COUNTIFS(Bugs!$B$6:$B$305,A72,Bugs!$C$6:$C$305,B72))</f>
        <v/>
      </c>
      <c r="I72" s="35" t="str">
        <f aca="false">IF(OR(A72="",B72=""),"",COUNTIFS('UX Notes'!$A$6:$A$205,A72,'UX Notes'!$B$6:$B$205,B72))</f>
        <v/>
      </c>
      <c r="J72" s="32"/>
      <c r="K72" s="32"/>
      <c r="L72" s="32"/>
    </row>
    <row r="73" customFormat="false" ht="15" hidden="false" customHeight="false" outlineLevel="0" collapsed="false">
      <c r="A73" s="31"/>
      <c r="B73" s="32"/>
      <c r="C73" s="48" t="str">
        <f aca="false">IF(OR(A73="",B73=""),"",IFERROR(1/(1/SUMIFS('Check-in'!$C$6:$C$205,'Check-in'!$A$6:$A$205,A73,'Check-in'!$B$6:$B$205,B73)),""))</f>
        <v/>
      </c>
      <c r="D73" s="33"/>
      <c r="E73" s="49" t="str">
        <f aca="false">IF(OR(C73="",D73=""),"",ROUND((D73-C73)*24,1))</f>
        <v/>
      </c>
      <c r="F73" s="32"/>
      <c r="G73" s="32"/>
      <c r="H73" s="35" t="str">
        <f aca="false">IF(OR(A73="",B73=""),"",COUNTIFS(Bugs!$B$6:$B$305,A73,Bugs!$C$6:$C$305,B73))</f>
        <v/>
      </c>
      <c r="I73" s="35" t="str">
        <f aca="false">IF(OR(A73="",B73=""),"",COUNTIFS('UX Notes'!$A$6:$A$205,A73,'UX Notes'!$B$6:$B$205,B73))</f>
        <v/>
      </c>
      <c r="J73" s="32"/>
      <c r="K73" s="32"/>
      <c r="L73" s="32"/>
    </row>
    <row r="74" customFormat="false" ht="15" hidden="false" customHeight="false" outlineLevel="0" collapsed="false">
      <c r="A74" s="31"/>
      <c r="B74" s="32"/>
      <c r="C74" s="48" t="str">
        <f aca="false">IF(OR(A74="",B74=""),"",IFERROR(1/(1/SUMIFS('Check-in'!$C$6:$C$205,'Check-in'!$A$6:$A$205,A74,'Check-in'!$B$6:$B$205,B74)),""))</f>
        <v/>
      </c>
      <c r="D74" s="33"/>
      <c r="E74" s="49" t="str">
        <f aca="false">IF(OR(C74="",D74=""),"",ROUND((D74-C74)*24,1))</f>
        <v/>
      </c>
      <c r="F74" s="32"/>
      <c r="G74" s="32"/>
      <c r="H74" s="35" t="str">
        <f aca="false">IF(OR(A74="",B74=""),"",COUNTIFS(Bugs!$B$6:$B$305,A74,Bugs!$C$6:$C$305,B74))</f>
        <v/>
      </c>
      <c r="I74" s="35" t="str">
        <f aca="false">IF(OR(A74="",B74=""),"",COUNTIFS('UX Notes'!$A$6:$A$205,A74,'UX Notes'!$B$6:$B$205,B74))</f>
        <v/>
      </c>
      <c r="J74" s="32"/>
      <c r="K74" s="32"/>
      <c r="L74" s="32"/>
    </row>
    <row r="75" customFormat="false" ht="15" hidden="false" customHeight="false" outlineLevel="0" collapsed="false">
      <c r="A75" s="31"/>
      <c r="B75" s="32"/>
      <c r="C75" s="48" t="str">
        <f aca="false">IF(OR(A75="",B75=""),"",IFERROR(1/(1/SUMIFS('Check-in'!$C$6:$C$205,'Check-in'!$A$6:$A$205,A75,'Check-in'!$B$6:$B$205,B75)),""))</f>
        <v/>
      </c>
      <c r="D75" s="33"/>
      <c r="E75" s="49" t="str">
        <f aca="false">IF(OR(C75="",D75=""),"",ROUND((D75-C75)*24,1))</f>
        <v/>
      </c>
      <c r="F75" s="32"/>
      <c r="G75" s="32"/>
      <c r="H75" s="35" t="str">
        <f aca="false">IF(OR(A75="",B75=""),"",COUNTIFS(Bugs!$B$6:$B$305,A75,Bugs!$C$6:$C$305,B75))</f>
        <v/>
      </c>
      <c r="I75" s="35" t="str">
        <f aca="false">IF(OR(A75="",B75=""),"",COUNTIFS('UX Notes'!$A$6:$A$205,A75,'UX Notes'!$B$6:$B$205,B75))</f>
        <v/>
      </c>
      <c r="J75" s="32"/>
      <c r="K75" s="32"/>
      <c r="L75" s="32"/>
    </row>
    <row r="76" customFormat="false" ht="15" hidden="false" customHeight="false" outlineLevel="0" collapsed="false">
      <c r="A76" s="31"/>
      <c r="B76" s="32"/>
      <c r="C76" s="48" t="str">
        <f aca="false">IF(OR(A76="",B76=""),"",IFERROR(1/(1/SUMIFS('Check-in'!$C$6:$C$205,'Check-in'!$A$6:$A$205,A76,'Check-in'!$B$6:$B$205,B76)),""))</f>
        <v/>
      </c>
      <c r="D76" s="33"/>
      <c r="E76" s="49" t="str">
        <f aca="false">IF(OR(C76="",D76=""),"",ROUND((D76-C76)*24,1))</f>
        <v/>
      </c>
      <c r="F76" s="32"/>
      <c r="G76" s="32"/>
      <c r="H76" s="35" t="str">
        <f aca="false">IF(OR(A76="",B76=""),"",COUNTIFS(Bugs!$B$6:$B$305,A76,Bugs!$C$6:$C$305,B76))</f>
        <v/>
      </c>
      <c r="I76" s="35" t="str">
        <f aca="false">IF(OR(A76="",B76=""),"",COUNTIFS('UX Notes'!$A$6:$A$205,A76,'UX Notes'!$B$6:$B$205,B76))</f>
        <v/>
      </c>
      <c r="J76" s="32"/>
      <c r="K76" s="32"/>
      <c r="L76" s="32"/>
    </row>
    <row r="77" customFormat="false" ht="15" hidden="false" customHeight="false" outlineLevel="0" collapsed="false">
      <c r="A77" s="31"/>
      <c r="B77" s="32"/>
      <c r="C77" s="48" t="str">
        <f aca="false">IF(OR(A77="",B77=""),"",IFERROR(1/(1/SUMIFS('Check-in'!$C$6:$C$205,'Check-in'!$A$6:$A$205,A77,'Check-in'!$B$6:$B$205,B77)),""))</f>
        <v/>
      </c>
      <c r="D77" s="33"/>
      <c r="E77" s="49" t="str">
        <f aca="false">IF(OR(C77="",D77=""),"",ROUND((D77-C77)*24,1))</f>
        <v/>
      </c>
      <c r="F77" s="32"/>
      <c r="G77" s="32"/>
      <c r="H77" s="35" t="str">
        <f aca="false">IF(OR(A77="",B77=""),"",COUNTIFS(Bugs!$B$6:$B$305,A77,Bugs!$C$6:$C$305,B77))</f>
        <v/>
      </c>
      <c r="I77" s="35" t="str">
        <f aca="false">IF(OR(A77="",B77=""),"",COUNTIFS('UX Notes'!$A$6:$A$205,A77,'UX Notes'!$B$6:$B$205,B77))</f>
        <v/>
      </c>
      <c r="J77" s="32"/>
      <c r="K77" s="32"/>
      <c r="L77" s="32"/>
    </row>
    <row r="78" customFormat="false" ht="15" hidden="false" customHeight="false" outlineLevel="0" collapsed="false">
      <c r="A78" s="31"/>
      <c r="B78" s="32"/>
      <c r="C78" s="48" t="str">
        <f aca="false">IF(OR(A78="",B78=""),"",IFERROR(1/(1/SUMIFS('Check-in'!$C$6:$C$205,'Check-in'!$A$6:$A$205,A78,'Check-in'!$B$6:$B$205,B78)),""))</f>
        <v/>
      </c>
      <c r="D78" s="33"/>
      <c r="E78" s="49" t="str">
        <f aca="false">IF(OR(C78="",D78=""),"",ROUND((D78-C78)*24,1))</f>
        <v/>
      </c>
      <c r="F78" s="32"/>
      <c r="G78" s="32"/>
      <c r="H78" s="35" t="str">
        <f aca="false">IF(OR(A78="",B78=""),"",COUNTIFS(Bugs!$B$6:$B$305,A78,Bugs!$C$6:$C$305,B78))</f>
        <v/>
      </c>
      <c r="I78" s="35" t="str">
        <f aca="false">IF(OR(A78="",B78=""),"",COUNTIFS('UX Notes'!$A$6:$A$205,A78,'UX Notes'!$B$6:$B$205,B78))</f>
        <v/>
      </c>
      <c r="J78" s="32"/>
      <c r="K78" s="32"/>
      <c r="L78" s="32"/>
    </row>
    <row r="79" customFormat="false" ht="15" hidden="false" customHeight="false" outlineLevel="0" collapsed="false">
      <c r="A79" s="31"/>
      <c r="B79" s="32"/>
      <c r="C79" s="48" t="str">
        <f aca="false">IF(OR(A79="",B79=""),"",IFERROR(1/(1/SUMIFS('Check-in'!$C$6:$C$205,'Check-in'!$A$6:$A$205,A79,'Check-in'!$B$6:$B$205,B79)),""))</f>
        <v/>
      </c>
      <c r="D79" s="33"/>
      <c r="E79" s="49" t="str">
        <f aca="false">IF(OR(C79="",D79=""),"",ROUND((D79-C79)*24,1))</f>
        <v/>
      </c>
      <c r="F79" s="32"/>
      <c r="G79" s="32"/>
      <c r="H79" s="35" t="str">
        <f aca="false">IF(OR(A79="",B79=""),"",COUNTIFS(Bugs!$B$6:$B$305,A79,Bugs!$C$6:$C$305,B79))</f>
        <v/>
      </c>
      <c r="I79" s="35" t="str">
        <f aca="false">IF(OR(A79="",B79=""),"",COUNTIFS('UX Notes'!$A$6:$A$205,A79,'UX Notes'!$B$6:$B$205,B79))</f>
        <v/>
      </c>
      <c r="J79" s="32"/>
      <c r="K79" s="32"/>
      <c r="L79" s="32"/>
    </row>
    <row r="80" customFormat="false" ht="15" hidden="false" customHeight="false" outlineLevel="0" collapsed="false">
      <c r="A80" s="31"/>
      <c r="B80" s="32"/>
      <c r="C80" s="48" t="str">
        <f aca="false">IF(OR(A80="",B80=""),"",IFERROR(1/(1/SUMIFS('Check-in'!$C$6:$C$205,'Check-in'!$A$6:$A$205,A80,'Check-in'!$B$6:$B$205,B80)),""))</f>
        <v/>
      </c>
      <c r="D80" s="33"/>
      <c r="E80" s="49" t="str">
        <f aca="false">IF(OR(C80="",D80=""),"",ROUND((D80-C80)*24,1))</f>
        <v/>
      </c>
      <c r="F80" s="32"/>
      <c r="G80" s="32"/>
      <c r="H80" s="35" t="str">
        <f aca="false">IF(OR(A80="",B80=""),"",COUNTIFS(Bugs!$B$6:$B$305,A80,Bugs!$C$6:$C$305,B80))</f>
        <v/>
      </c>
      <c r="I80" s="35" t="str">
        <f aca="false">IF(OR(A80="",B80=""),"",COUNTIFS('UX Notes'!$A$6:$A$205,A80,'UX Notes'!$B$6:$B$205,B80))</f>
        <v/>
      </c>
      <c r="J80" s="32"/>
      <c r="K80" s="32"/>
      <c r="L80" s="32"/>
    </row>
    <row r="81" customFormat="false" ht="15" hidden="false" customHeight="false" outlineLevel="0" collapsed="false">
      <c r="A81" s="31"/>
      <c r="B81" s="32"/>
      <c r="C81" s="48" t="str">
        <f aca="false">IF(OR(A81="",B81=""),"",IFERROR(1/(1/SUMIFS('Check-in'!$C$6:$C$205,'Check-in'!$A$6:$A$205,A81,'Check-in'!$B$6:$B$205,B81)),""))</f>
        <v/>
      </c>
      <c r="D81" s="33"/>
      <c r="E81" s="49" t="str">
        <f aca="false">IF(OR(C81="",D81=""),"",ROUND((D81-C81)*24,1))</f>
        <v/>
      </c>
      <c r="F81" s="32"/>
      <c r="G81" s="32"/>
      <c r="H81" s="35" t="str">
        <f aca="false">IF(OR(A81="",B81=""),"",COUNTIFS(Bugs!$B$6:$B$305,A81,Bugs!$C$6:$C$305,B81))</f>
        <v/>
      </c>
      <c r="I81" s="35" t="str">
        <f aca="false">IF(OR(A81="",B81=""),"",COUNTIFS('UX Notes'!$A$6:$A$205,A81,'UX Notes'!$B$6:$B$205,B81))</f>
        <v/>
      </c>
      <c r="J81" s="32"/>
      <c r="K81" s="32"/>
      <c r="L81" s="32"/>
    </row>
    <row r="82" customFormat="false" ht="15" hidden="false" customHeight="false" outlineLevel="0" collapsed="false">
      <c r="A82" s="31"/>
      <c r="B82" s="32"/>
      <c r="C82" s="48" t="str">
        <f aca="false">IF(OR(A82="",B82=""),"",IFERROR(1/(1/SUMIFS('Check-in'!$C$6:$C$205,'Check-in'!$A$6:$A$205,A82,'Check-in'!$B$6:$B$205,B82)),""))</f>
        <v/>
      </c>
      <c r="D82" s="33"/>
      <c r="E82" s="49" t="str">
        <f aca="false">IF(OR(C82="",D82=""),"",ROUND((D82-C82)*24,1))</f>
        <v/>
      </c>
      <c r="F82" s="32"/>
      <c r="G82" s="32"/>
      <c r="H82" s="35" t="str">
        <f aca="false">IF(OR(A82="",B82=""),"",COUNTIFS(Bugs!$B$6:$B$305,A82,Bugs!$C$6:$C$305,B82))</f>
        <v/>
      </c>
      <c r="I82" s="35" t="str">
        <f aca="false">IF(OR(A82="",B82=""),"",COUNTIFS('UX Notes'!$A$6:$A$205,A82,'UX Notes'!$B$6:$B$205,B82))</f>
        <v/>
      </c>
      <c r="J82" s="32"/>
      <c r="K82" s="32"/>
      <c r="L82" s="32"/>
    </row>
    <row r="83" customFormat="false" ht="15" hidden="false" customHeight="false" outlineLevel="0" collapsed="false">
      <c r="A83" s="31"/>
      <c r="B83" s="32"/>
      <c r="C83" s="48" t="str">
        <f aca="false">IF(OR(A83="",B83=""),"",IFERROR(1/(1/SUMIFS('Check-in'!$C$6:$C$205,'Check-in'!$A$6:$A$205,A83,'Check-in'!$B$6:$B$205,B83)),""))</f>
        <v/>
      </c>
      <c r="D83" s="33"/>
      <c r="E83" s="49" t="str">
        <f aca="false">IF(OR(C83="",D83=""),"",ROUND((D83-C83)*24,1))</f>
        <v/>
      </c>
      <c r="F83" s="32"/>
      <c r="G83" s="32"/>
      <c r="H83" s="35" t="str">
        <f aca="false">IF(OR(A83="",B83=""),"",COUNTIFS(Bugs!$B$6:$B$305,A83,Bugs!$C$6:$C$305,B83))</f>
        <v/>
      </c>
      <c r="I83" s="35" t="str">
        <f aca="false">IF(OR(A83="",B83=""),"",COUNTIFS('UX Notes'!$A$6:$A$205,A83,'UX Notes'!$B$6:$B$205,B83))</f>
        <v/>
      </c>
      <c r="J83" s="32"/>
      <c r="K83" s="32"/>
      <c r="L83" s="32"/>
    </row>
    <row r="84" customFormat="false" ht="15" hidden="false" customHeight="false" outlineLevel="0" collapsed="false">
      <c r="A84" s="31"/>
      <c r="B84" s="32"/>
      <c r="C84" s="48" t="str">
        <f aca="false">IF(OR(A84="",B84=""),"",IFERROR(1/(1/SUMIFS('Check-in'!$C$6:$C$205,'Check-in'!$A$6:$A$205,A84,'Check-in'!$B$6:$B$205,B84)),""))</f>
        <v/>
      </c>
      <c r="D84" s="33"/>
      <c r="E84" s="49" t="str">
        <f aca="false">IF(OR(C84="",D84=""),"",ROUND((D84-C84)*24,1))</f>
        <v/>
      </c>
      <c r="F84" s="32"/>
      <c r="G84" s="32"/>
      <c r="H84" s="35" t="str">
        <f aca="false">IF(OR(A84="",B84=""),"",COUNTIFS(Bugs!$B$6:$B$305,A84,Bugs!$C$6:$C$305,B84))</f>
        <v/>
      </c>
      <c r="I84" s="35" t="str">
        <f aca="false">IF(OR(A84="",B84=""),"",COUNTIFS('UX Notes'!$A$6:$A$205,A84,'UX Notes'!$B$6:$B$205,B84))</f>
        <v/>
      </c>
      <c r="J84" s="32"/>
      <c r="K84" s="32"/>
      <c r="L84" s="32"/>
    </row>
    <row r="85" customFormat="false" ht="15" hidden="false" customHeight="false" outlineLevel="0" collapsed="false">
      <c r="A85" s="31"/>
      <c r="B85" s="32"/>
      <c r="C85" s="48" t="str">
        <f aca="false">IF(OR(A85="",B85=""),"",IFERROR(1/(1/SUMIFS('Check-in'!$C$6:$C$205,'Check-in'!$A$6:$A$205,A85,'Check-in'!$B$6:$B$205,B85)),""))</f>
        <v/>
      </c>
      <c r="D85" s="33"/>
      <c r="E85" s="49" t="str">
        <f aca="false">IF(OR(C85="",D85=""),"",ROUND((D85-C85)*24,1))</f>
        <v/>
      </c>
      <c r="F85" s="32"/>
      <c r="G85" s="32"/>
      <c r="H85" s="35" t="str">
        <f aca="false">IF(OR(A85="",B85=""),"",COUNTIFS(Bugs!$B$6:$B$305,A85,Bugs!$C$6:$C$305,B85))</f>
        <v/>
      </c>
      <c r="I85" s="35" t="str">
        <f aca="false">IF(OR(A85="",B85=""),"",COUNTIFS('UX Notes'!$A$6:$A$205,A85,'UX Notes'!$B$6:$B$205,B85))</f>
        <v/>
      </c>
      <c r="J85" s="32"/>
      <c r="K85" s="32"/>
      <c r="L85" s="32"/>
    </row>
    <row r="86" customFormat="false" ht="15" hidden="false" customHeight="false" outlineLevel="0" collapsed="false">
      <c r="A86" s="31"/>
      <c r="B86" s="32"/>
      <c r="C86" s="48" t="str">
        <f aca="false">IF(OR(A86="",B86=""),"",IFERROR(1/(1/SUMIFS('Check-in'!$C$6:$C$205,'Check-in'!$A$6:$A$205,A86,'Check-in'!$B$6:$B$205,B86)),""))</f>
        <v/>
      </c>
      <c r="D86" s="33"/>
      <c r="E86" s="49" t="str">
        <f aca="false">IF(OR(C86="",D86=""),"",ROUND((D86-C86)*24,1))</f>
        <v/>
      </c>
      <c r="F86" s="32"/>
      <c r="G86" s="32"/>
      <c r="H86" s="35" t="str">
        <f aca="false">IF(OR(A86="",B86=""),"",COUNTIFS(Bugs!$B$6:$B$305,A86,Bugs!$C$6:$C$305,B86))</f>
        <v/>
      </c>
      <c r="I86" s="35" t="str">
        <f aca="false">IF(OR(A86="",B86=""),"",COUNTIFS('UX Notes'!$A$6:$A$205,A86,'UX Notes'!$B$6:$B$205,B86))</f>
        <v/>
      </c>
      <c r="J86" s="32"/>
      <c r="K86" s="32"/>
      <c r="L86" s="32"/>
    </row>
    <row r="87" customFormat="false" ht="15" hidden="false" customHeight="false" outlineLevel="0" collapsed="false">
      <c r="A87" s="31"/>
      <c r="B87" s="32"/>
      <c r="C87" s="48" t="str">
        <f aca="false">IF(OR(A87="",B87=""),"",IFERROR(1/(1/SUMIFS('Check-in'!$C$6:$C$205,'Check-in'!$A$6:$A$205,A87,'Check-in'!$B$6:$B$205,B87)),""))</f>
        <v/>
      </c>
      <c r="D87" s="33"/>
      <c r="E87" s="49" t="str">
        <f aca="false">IF(OR(C87="",D87=""),"",ROUND((D87-C87)*24,1))</f>
        <v/>
      </c>
      <c r="F87" s="32"/>
      <c r="G87" s="32"/>
      <c r="H87" s="35" t="str">
        <f aca="false">IF(OR(A87="",B87=""),"",COUNTIFS(Bugs!$B$6:$B$305,A87,Bugs!$C$6:$C$305,B87))</f>
        <v/>
      </c>
      <c r="I87" s="35" t="str">
        <f aca="false">IF(OR(A87="",B87=""),"",COUNTIFS('UX Notes'!$A$6:$A$205,A87,'UX Notes'!$B$6:$B$205,B87))</f>
        <v/>
      </c>
      <c r="J87" s="32"/>
      <c r="K87" s="32"/>
      <c r="L87" s="32"/>
    </row>
    <row r="88" customFormat="false" ht="15" hidden="false" customHeight="false" outlineLevel="0" collapsed="false">
      <c r="A88" s="31"/>
      <c r="B88" s="32"/>
      <c r="C88" s="48" t="str">
        <f aca="false">IF(OR(A88="",B88=""),"",IFERROR(1/(1/SUMIFS('Check-in'!$C$6:$C$205,'Check-in'!$A$6:$A$205,A88,'Check-in'!$B$6:$B$205,B88)),""))</f>
        <v/>
      </c>
      <c r="D88" s="33"/>
      <c r="E88" s="49" t="str">
        <f aca="false">IF(OR(C88="",D88=""),"",ROUND((D88-C88)*24,1))</f>
        <v/>
      </c>
      <c r="F88" s="32"/>
      <c r="G88" s="32"/>
      <c r="H88" s="35" t="str">
        <f aca="false">IF(OR(A88="",B88=""),"",COUNTIFS(Bugs!$B$6:$B$305,A88,Bugs!$C$6:$C$305,B88))</f>
        <v/>
      </c>
      <c r="I88" s="35" t="str">
        <f aca="false">IF(OR(A88="",B88=""),"",COUNTIFS('UX Notes'!$A$6:$A$205,A88,'UX Notes'!$B$6:$B$205,B88))</f>
        <v/>
      </c>
      <c r="J88" s="32"/>
      <c r="K88" s="32"/>
      <c r="L88" s="32"/>
    </row>
    <row r="89" customFormat="false" ht="15" hidden="false" customHeight="false" outlineLevel="0" collapsed="false">
      <c r="A89" s="31"/>
      <c r="B89" s="32"/>
      <c r="C89" s="48" t="str">
        <f aca="false">IF(OR(A89="",B89=""),"",IFERROR(1/(1/SUMIFS('Check-in'!$C$6:$C$205,'Check-in'!$A$6:$A$205,A89,'Check-in'!$B$6:$B$205,B89)),""))</f>
        <v/>
      </c>
      <c r="D89" s="33"/>
      <c r="E89" s="49" t="str">
        <f aca="false">IF(OR(C89="",D89=""),"",ROUND((D89-C89)*24,1))</f>
        <v/>
      </c>
      <c r="F89" s="32"/>
      <c r="G89" s="32"/>
      <c r="H89" s="35" t="str">
        <f aca="false">IF(OR(A89="",B89=""),"",COUNTIFS(Bugs!$B$6:$B$305,A89,Bugs!$C$6:$C$305,B89))</f>
        <v/>
      </c>
      <c r="I89" s="35" t="str">
        <f aca="false">IF(OR(A89="",B89=""),"",COUNTIFS('UX Notes'!$A$6:$A$205,A89,'UX Notes'!$B$6:$B$205,B89))</f>
        <v/>
      </c>
      <c r="J89" s="32"/>
      <c r="K89" s="32"/>
      <c r="L89" s="32"/>
    </row>
    <row r="90" customFormat="false" ht="15" hidden="false" customHeight="false" outlineLevel="0" collapsed="false">
      <c r="A90" s="31"/>
      <c r="B90" s="32"/>
      <c r="C90" s="48" t="str">
        <f aca="false">IF(OR(A90="",B90=""),"",IFERROR(1/(1/SUMIFS('Check-in'!$C$6:$C$205,'Check-in'!$A$6:$A$205,A90,'Check-in'!$B$6:$B$205,B90)),""))</f>
        <v/>
      </c>
      <c r="D90" s="33"/>
      <c r="E90" s="49" t="str">
        <f aca="false">IF(OR(C90="",D90=""),"",ROUND((D90-C90)*24,1))</f>
        <v/>
      </c>
      <c r="F90" s="32"/>
      <c r="G90" s="32"/>
      <c r="H90" s="35" t="str">
        <f aca="false">IF(OR(A90="",B90=""),"",COUNTIFS(Bugs!$B$6:$B$305,A90,Bugs!$C$6:$C$305,B90))</f>
        <v/>
      </c>
      <c r="I90" s="35" t="str">
        <f aca="false">IF(OR(A90="",B90=""),"",COUNTIFS('UX Notes'!$A$6:$A$205,A90,'UX Notes'!$B$6:$B$205,B90))</f>
        <v/>
      </c>
      <c r="J90" s="32"/>
      <c r="K90" s="32"/>
      <c r="L90" s="32"/>
    </row>
    <row r="91" customFormat="false" ht="15" hidden="false" customHeight="false" outlineLevel="0" collapsed="false">
      <c r="A91" s="31"/>
      <c r="B91" s="32"/>
      <c r="C91" s="48" t="str">
        <f aca="false">IF(OR(A91="",B91=""),"",IFERROR(1/(1/SUMIFS('Check-in'!$C$6:$C$205,'Check-in'!$A$6:$A$205,A91,'Check-in'!$B$6:$B$205,B91)),""))</f>
        <v/>
      </c>
      <c r="D91" s="33"/>
      <c r="E91" s="49" t="str">
        <f aca="false">IF(OR(C91="",D91=""),"",ROUND((D91-C91)*24,1))</f>
        <v/>
      </c>
      <c r="F91" s="32"/>
      <c r="G91" s="32"/>
      <c r="H91" s="35" t="str">
        <f aca="false">IF(OR(A91="",B91=""),"",COUNTIFS(Bugs!$B$6:$B$305,A91,Bugs!$C$6:$C$305,B91))</f>
        <v/>
      </c>
      <c r="I91" s="35" t="str">
        <f aca="false">IF(OR(A91="",B91=""),"",COUNTIFS('UX Notes'!$A$6:$A$205,A91,'UX Notes'!$B$6:$B$205,B91))</f>
        <v/>
      </c>
      <c r="J91" s="32"/>
      <c r="K91" s="32"/>
      <c r="L91" s="32"/>
    </row>
    <row r="92" customFormat="false" ht="15" hidden="false" customHeight="false" outlineLevel="0" collapsed="false">
      <c r="A92" s="31"/>
      <c r="B92" s="32"/>
      <c r="C92" s="48" t="str">
        <f aca="false">IF(OR(A92="",B92=""),"",IFERROR(1/(1/SUMIFS('Check-in'!$C$6:$C$205,'Check-in'!$A$6:$A$205,A92,'Check-in'!$B$6:$B$205,B92)),""))</f>
        <v/>
      </c>
      <c r="D92" s="33"/>
      <c r="E92" s="49" t="str">
        <f aca="false">IF(OR(C92="",D92=""),"",ROUND((D92-C92)*24,1))</f>
        <v/>
      </c>
      <c r="F92" s="32"/>
      <c r="G92" s="32"/>
      <c r="H92" s="35" t="str">
        <f aca="false">IF(OR(A92="",B92=""),"",COUNTIFS(Bugs!$B$6:$B$305,A92,Bugs!$C$6:$C$305,B92))</f>
        <v/>
      </c>
      <c r="I92" s="35" t="str">
        <f aca="false">IF(OR(A92="",B92=""),"",COUNTIFS('UX Notes'!$A$6:$A$205,A92,'UX Notes'!$B$6:$B$205,B92))</f>
        <v/>
      </c>
      <c r="J92" s="32"/>
      <c r="K92" s="32"/>
      <c r="L92" s="32"/>
    </row>
    <row r="93" customFormat="false" ht="15" hidden="false" customHeight="false" outlineLevel="0" collapsed="false">
      <c r="A93" s="31"/>
      <c r="B93" s="32"/>
      <c r="C93" s="48" t="str">
        <f aca="false">IF(OR(A93="",B93=""),"",IFERROR(1/(1/SUMIFS('Check-in'!$C$6:$C$205,'Check-in'!$A$6:$A$205,A93,'Check-in'!$B$6:$B$205,B93)),""))</f>
        <v/>
      </c>
      <c r="D93" s="33"/>
      <c r="E93" s="49" t="str">
        <f aca="false">IF(OR(C93="",D93=""),"",ROUND((D93-C93)*24,1))</f>
        <v/>
      </c>
      <c r="F93" s="32"/>
      <c r="G93" s="32"/>
      <c r="H93" s="35" t="str">
        <f aca="false">IF(OR(A93="",B93=""),"",COUNTIFS(Bugs!$B$6:$B$305,A93,Bugs!$C$6:$C$305,B93))</f>
        <v/>
      </c>
      <c r="I93" s="35" t="str">
        <f aca="false">IF(OR(A93="",B93=""),"",COUNTIFS('UX Notes'!$A$6:$A$205,A93,'UX Notes'!$B$6:$B$205,B93))</f>
        <v/>
      </c>
      <c r="J93" s="32"/>
      <c r="K93" s="32"/>
      <c r="L93" s="32"/>
    </row>
    <row r="94" customFormat="false" ht="15" hidden="false" customHeight="false" outlineLevel="0" collapsed="false">
      <c r="A94" s="31"/>
      <c r="B94" s="32"/>
      <c r="C94" s="48" t="str">
        <f aca="false">IF(OR(A94="",B94=""),"",IFERROR(1/(1/SUMIFS('Check-in'!$C$6:$C$205,'Check-in'!$A$6:$A$205,A94,'Check-in'!$B$6:$B$205,B94)),""))</f>
        <v/>
      </c>
      <c r="D94" s="33"/>
      <c r="E94" s="49" t="str">
        <f aca="false">IF(OR(C94="",D94=""),"",ROUND((D94-C94)*24,1))</f>
        <v/>
      </c>
      <c r="F94" s="32"/>
      <c r="G94" s="32"/>
      <c r="H94" s="35" t="str">
        <f aca="false">IF(OR(A94="",B94=""),"",COUNTIFS(Bugs!$B$6:$B$305,A94,Bugs!$C$6:$C$305,B94))</f>
        <v/>
      </c>
      <c r="I94" s="35" t="str">
        <f aca="false">IF(OR(A94="",B94=""),"",COUNTIFS('UX Notes'!$A$6:$A$205,A94,'UX Notes'!$B$6:$B$205,B94))</f>
        <v/>
      </c>
      <c r="J94" s="32"/>
      <c r="K94" s="32"/>
      <c r="L94" s="32"/>
    </row>
    <row r="95" customFormat="false" ht="15" hidden="false" customHeight="false" outlineLevel="0" collapsed="false">
      <c r="A95" s="31"/>
      <c r="B95" s="32"/>
      <c r="C95" s="48" t="str">
        <f aca="false">IF(OR(A95="",B95=""),"",IFERROR(1/(1/SUMIFS('Check-in'!$C$6:$C$205,'Check-in'!$A$6:$A$205,A95,'Check-in'!$B$6:$B$205,B95)),""))</f>
        <v/>
      </c>
      <c r="D95" s="33"/>
      <c r="E95" s="49" t="str">
        <f aca="false">IF(OR(C95="",D95=""),"",ROUND((D95-C95)*24,1))</f>
        <v/>
      </c>
      <c r="F95" s="32"/>
      <c r="G95" s="32"/>
      <c r="H95" s="35" t="str">
        <f aca="false">IF(OR(A95="",B95=""),"",COUNTIFS(Bugs!$B$6:$B$305,A95,Bugs!$C$6:$C$305,B95))</f>
        <v/>
      </c>
      <c r="I95" s="35" t="str">
        <f aca="false">IF(OR(A95="",B95=""),"",COUNTIFS('UX Notes'!$A$6:$A$205,A95,'UX Notes'!$B$6:$B$205,B95))</f>
        <v/>
      </c>
      <c r="J95" s="32"/>
      <c r="K95" s="32"/>
      <c r="L95" s="32"/>
    </row>
    <row r="96" customFormat="false" ht="15" hidden="false" customHeight="false" outlineLevel="0" collapsed="false">
      <c r="A96" s="31"/>
      <c r="B96" s="32"/>
      <c r="C96" s="48" t="str">
        <f aca="false">IF(OR(A96="",B96=""),"",IFERROR(1/(1/SUMIFS('Check-in'!$C$6:$C$205,'Check-in'!$A$6:$A$205,A96,'Check-in'!$B$6:$B$205,B96)),""))</f>
        <v/>
      </c>
      <c r="D96" s="33"/>
      <c r="E96" s="49" t="str">
        <f aca="false">IF(OR(C96="",D96=""),"",ROUND((D96-C96)*24,1))</f>
        <v/>
      </c>
      <c r="F96" s="32"/>
      <c r="G96" s="32"/>
      <c r="H96" s="35" t="str">
        <f aca="false">IF(OR(A96="",B96=""),"",COUNTIFS(Bugs!$B$6:$B$305,A96,Bugs!$C$6:$C$305,B96))</f>
        <v/>
      </c>
      <c r="I96" s="35" t="str">
        <f aca="false">IF(OR(A96="",B96=""),"",COUNTIFS('UX Notes'!$A$6:$A$205,A96,'UX Notes'!$B$6:$B$205,B96))</f>
        <v/>
      </c>
      <c r="J96" s="32"/>
      <c r="K96" s="32"/>
      <c r="L96" s="32"/>
    </row>
    <row r="97" customFormat="false" ht="15" hidden="false" customHeight="false" outlineLevel="0" collapsed="false">
      <c r="A97" s="31"/>
      <c r="B97" s="32"/>
      <c r="C97" s="48" t="str">
        <f aca="false">IF(OR(A97="",B97=""),"",IFERROR(1/(1/SUMIFS('Check-in'!$C$6:$C$205,'Check-in'!$A$6:$A$205,A97,'Check-in'!$B$6:$B$205,B97)),""))</f>
        <v/>
      </c>
      <c r="D97" s="33"/>
      <c r="E97" s="49" t="str">
        <f aca="false">IF(OR(C97="",D97=""),"",ROUND((D97-C97)*24,1))</f>
        <v/>
      </c>
      <c r="F97" s="32"/>
      <c r="G97" s="32"/>
      <c r="H97" s="35" t="str">
        <f aca="false">IF(OR(A97="",B97=""),"",COUNTIFS(Bugs!$B$6:$B$305,A97,Bugs!$C$6:$C$305,B97))</f>
        <v/>
      </c>
      <c r="I97" s="35" t="str">
        <f aca="false">IF(OR(A97="",B97=""),"",COUNTIFS('UX Notes'!$A$6:$A$205,A97,'UX Notes'!$B$6:$B$205,B97))</f>
        <v/>
      </c>
      <c r="J97" s="32"/>
      <c r="K97" s="32"/>
      <c r="L97" s="32"/>
    </row>
    <row r="98" customFormat="false" ht="15" hidden="false" customHeight="false" outlineLevel="0" collapsed="false">
      <c r="A98" s="31"/>
      <c r="B98" s="32"/>
      <c r="C98" s="48" t="str">
        <f aca="false">IF(OR(A98="",B98=""),"",IFERROR(1/(1/SUMIFS('Check-in'!$C$6:$C$205,'Check-in'!$A$6:$A$205,A98,'Check-in'!$B$6:$B$205,B98)),""))</f>
        <v/>
      </c>
      <c r="D98" s="33"/>
      <c r="E98" s="49" t="str">
        <f aca="false">IF(OR(C98="",D98=""),"",ROUND((D98-C98)*24,1))</f>
        <v/>
      </c>
      <c r="F98" s="32"/>
      <c r="G98" s="32"/>
      <c r="H98" s="35" t="str">
        <f aca="false">IF(OR(A98="",B98=""),"",COUNTIFS(Bugs!$B$6:$B$305,A98,Bugs!$C$6:$C$305,B98))</f>
        <v/>
      </c>
      <c r="I98" s="35" t="str">
        <f aca="false">IF(OR(A98="",B98=""),"",COUNTIFS('UX Notes'!$A$6:$A$205,A98,'UX Notes'!$B$6:$B$205,B98))</f>
        <v/>
      </c>
      <c r="J98" s="32"/>
      <c r="K98" s="32"/>
      <c r="L98" s="32"/>
    </row>
    <row r="99" customFormat="false" ht="15" hidden="false" customHeight="false" outlineLevel="0" collapsed="false">
      <c r="A99" s="31"/>
      <c r="B99" s="32"/>
      <c r="C99" s="48" t="str">
        <f aca="false">IF(OR(A99="",B99=""),"",IFERROR(1/(1/SUMIFS('Check-in'!$C$6:$C$205,'Check-in'!$A$6:$A$205,A99,'Check-in'!$B$6:$B$205,B99)),""))</f>
        <v/>
      </c>
      <c r="D99" s="33"/>
      <c r="E99" s="49" t="str">
        <f aca="false">IF(OR(C99="",D99=""),"",ROUND((D99-C99)*24,1))</f>
        <v/>
      </c>
      <c r="F99" s="32"/>
      <c r="G99" s="32"/>
      <c r="H99" s="35" t="str">
        <f aca="false">IF(OR(A99="",B99=""),"",COUNTIFS(Bugs!$B$6:$B$305,A99,Bugs!$C$6:$C$305,B99))</f>
        <v/>
      </c>
      <c r="I99" s="35" t="str">
        <f aca="false">IF(OR(A99="",B99=""),"",COUNTIFS('UX Notes'!$A$6:$A$205,A99,'UX Notes'!$B$6:$B$205,B99))</f>
        <v/>
      </c>
      <c r="J99" s="32"/>
      <c r="K99" s="32"/>
      <c r="L99" s="32"/>
    </row>
    <row r="100" customFormat="false" ht="15" hidden="false" customHeight="false" outlineLevel="0" collapsed="false">
      <c r="A100" s="31"/>
      <c r="B100" s="32"/>
      <c r="C100" s="48" t="str">
        <f aca="false">IF(OR(A100="",B100=""),"",IFERROR(1/(1/SUMIFS('Check-in'!$C$6:$C$205,'Check-in'!$A$6:$A$205,A100,'Check-in'!$B$6:$B$205,B100)),""))</f>
        <v/>
      </c>
      <c r="D100" s="33"/>
      <c r="E100" s="49" t="str">
        <f aca="false">IF(OR(C100="",D100=""),"",ROUND((D100-C100)*24,1))</f>
        <v/>
      </c>
      <c r="F100" s="32"/>
      <c r="G100" s="32"/>
      <c r="H100" s="35" t="str">
        <f aca="false">IF(OR(A100="",B100=""),"",COUNTIFS(Bugs!$B$6:$B$305,A100,Bugs!$C$6:$C$305,B100))</f>
        <v/>
      </c>
      <c r="I100" s="35" t="str">
        <f aca="false">IF(OR(A100="",B100=""),"",COUNTIFS('UX Notes'!$A$6:$A$205,A100,'UX Notes'!$B$6:$B$205,B100))</f>
        <v/>
      </c>
      <c r="J100" s="32"/>
      <c r="K100" s="32"/>
      <c r="L100" s="32"/>
    </row>
    <row r="101" customFormat="false" ht="15" hidden="false" customHeight="false" outlineLevel="0" collapsed="false">
      <c r="A101" s="31"/>
      <c r="B101" s="32"/>
      <c r="C101" s="48" t="str">
        <f aca="false">IF(OR(A101="",B101=""),"",IFERROR(1/(1/SUMIFS('Check-in'!$C$6:$C$205,'Check-in'!$A$6:$A$205,A101,'Check-in'!$B$6:$B$205,B101)),""))</f>
        <v/>
      </c>
      <c r="D101" s="33"/>
      <c r="E101" s="49" t="str">
        <f aca="false">IF(OR(C101="",D101=""),"",ROUND((D101-C101)*24,1))</f>
        <v/>
      </c>
      <c r="F101" s="32"/>
      <c r="G101" s="32"/>
      <c r="H101" s="35" t="str">
        <f aca="false">IF(OR(A101="",B101=""),"",COUNTIFS(Bugs!$B$6:$B$305,A101,Bugs!$C$6:$C$305,B101))</f>
        <v/>
      </c>
      <c r="I101" s="35" t="str">
        <f aca="false">IF(OR(A101="",B101=""),"",COUNTIFS('UX Notes'!$A$6:$A$205,A101,'UX Notes'!$B$6:$B$205,B101))</f>
        <v/>
      </c>
      <c r="J101" s="32"/>
      <c r="K101" s="32"/>
      <c r="L101" s="32"/>
    </row>
    <row r="102" customFormat="false" ht="15" hidden="false" customHeight="false" outlineLevel="0" collapsed="false">
      <c r="A102" s="31"/>
      <c r="B102" s="32"/>
      <c r="C102" s="48" t="str">
        <f aca="false">IF(OR(A102="",B102=""),"",IFERROR(1/(1/SUMIFS('Check-in'!$C$6:$C$205,'Check-in'!$A$6:$A$205,A102,'Check-in'!$B$6:$B$205,B102)),""))</f>
        <v/>
      </c>
      <c r="D102" s="33"/>
      <c r="E102" s="49" t="str">
        <f aca="false">IF(OR(C102="",D102=""),"",ROUND((D102-C102)*24,1))</f>
        <v/>
      </c>
      <c r="F102" s="32"/>
      <c r="G102" s="32"/>
      <c r="H102" s="35" t="str">
        <f aca="false">IF(OR(A102="",B102=""),"",COUNTIFS(Bugs!$B$6:$B$305,A102,Bugs!$C$6:$C$305,B102))</f>
        <v/>
      </c>
      <c r="I102" s="35" t="str">
        <f aca="false">IF(OR(A102="",B102=""),"",COUNTIFS('UX Notes'!$A$6:$A$205,A102,'UX Notes'!$B$6:$B$205,B102))</f>
        <v/>
      </c>
      <c r="J102" s="32"/>
      <c r="K102" s="32"/>
      <c r="L102" s="32"/>
    </row>
    <row r="103" customFormat="false" ht="15" hidden="false" customHeight="false" outlineLevel="0" collapsed="false">
      <c r="A103" s="31"/>
      <c r="B103" s="32"/>
      <c r="C103" s="48" t="str">
        <f aca="false">IF(OR(A103="",B103=""),"",IFERROR(1/(1/SUMIFS('Check-in'!$C$6:$C$205,'Check-in'!$A$6:$A$205,A103,'Check-in'!$B$6:$B$205,B103)),""))</f>
        <v/>
      </c>
      <c r="D103" s="33"/>
      <c r="E103" s="49" t="str">
        <f aca="false">IF(OR(C103="",D103=""),"",ROUND((D103-C103)*24,1))</f>
        <v/>
      </c>
      <c r="F103" s="32"/>
      <c r="G103" s="32"/>
      <c r="H103" s="35" t="str">
        <f aca="false">IF(OR(A103="",B103=""),"",COUNTIFS(Bugs!$B$6:$B$305,A103,Bugs!$C$6:$C$305,B103))</f>
        <v/>
      </c>
      <c r="I103" s="35" t="str">
        <f aca="false">IF(OR(A103="",B103=""),"",COUNTIFS('UX Notes'!$A$6:$A$205,A103,'UX Notes'!$B$6:$B$205,B103))</f>
        <v/>
      </c>
      <c r="J103" s="32"/>
      <c r="K103" s="32"/>
      <c r="L103" s="32"/>
    </row>
    <row r="104" customFormat="false" ht="15" hidden="false" customHeight="false" outlineLevel="0" collapsed="false">
      <c r="A104" s="31"/>
      <c r="B104" s="32"/>
      <c r="C104" s="48" t="str">
        <f aca="false">IF(OR(A104="",B104=""),"",IFERROR(1/(1/SUMIFS('Check-in'!$C$6:$C$205,'Check-in'!$A$6:$A$205,A104,'Check-in'!$B$6:$B$205,B104)),""))</f>
        <v/>
      </c>
      <c r="D104" s="33"/>
      <c r="E104" s="49" t="str">
        <f aca="false">IF(OR(C104="",D104=""),"",ROUND((D104-C104)*24,1))</f>
        <v/>
      </c>
      <c r="F104" s="32"/>
      <c r="G104" s="32"/>
      <c r="H104" s="35" t="str">
        <f aca="false">IF(OR(A104="",B104=""),"",COUNTIFS(Bugs!$B$6:$B$305,A104,Bugs!$C$6:$C$305,B104))</f>
        <v/>
      </c>
      <c r="I104" s="35" t="str">
        <f aca="false">IF(OR(A104="",B104=""),"",COUNTIFS('UX Notes'!$A$6:$A$205,A104,'UX Notes'!$B$6:$B$205,B104))</f>
        <v/>
      </c>
      <c r="J104" s="32"/>
      <c r="K104" s="32"/>
      <c r="L104" s="32"/>
    </row>
    <row r="105" customFormat="false" ht="15" hidden="false" customHeight="false" outlineLevel="0" collapsed="false">
      <c r="A105" s="31"/>
      <c r="B105" s="32"/>
      <c r="C105" s="48" t="str">
        <f aca="false">IF(OR(A105="",B105=""),"",IFERROR(1/(1/SUMIFS('Check-in'!$C$6:$C$205,'Check-in'!$A$6:$A$205,A105,'Check-in'!$B$6:$B$205,B105)),""))</f>
        <v/>
      </c>
      <c r="D105" s="33"/>
      <c r="E105" s="49" t="str">
        <f aca="false">IF(OR(C105="",D105=""),"",ROUND((D105-C105)*24,1))</f>
        <v/>
      </c>
      <c r="F105" s="32"/>
      <c r="G105" s="32"/>
      <c r="H105" s="35" t="str">
        <f aca="false">IF(OR(A105="",B105=""),"",COUNTIFS(Bugs!$B$6:$B$305,A105,Bugs!$C$6:$C$305,B105))</f>
        <v/>
      </c>
      <c r="I105" s="35" t="str">
        <f aca="false">IF(OR(A105="",B105=""),"",COUNTIFS('UX Notes'!$A$6:$A$205,A105,'UX Notes'!$B$6:$B$205,B105))</f>
        <v/>
      </c>
      <c r="J105" s="32"/>
      <c r="K105" s="32"/>
      <c r="L105" s="32"/>
    </row>
    <row r="106" customFormat="false" ht="15" hidden="false" customHeight="false" outlineLevel="0" collapsed="false">
      <c r="A106" s="31"/>
      <c r="B106" s="32"/>
      <c r="C106" s="48" t="str">
        <f aca="false">IF(OR(A106="",B106=""),"",IFERROR(1/(1/SUMIFS('Check-in'!$C$6:$C$205,'Check-in'!$A$6:$A$205,A106,'Check-in'!$B$6:$B$205,B106)),""))</f>
        <v/>
      </c>
      <c r="D106" s="33"/>
      <c r="E106" s="49" t="str">
        <f aca="false">IF(OR(C106="",D106=""),"",ROUND((D106-C106)*24,1))</f>
        <v/>
      </c>
      <c r="F106" s="32"/>
      <c r="G106" s="32"/>
      <c r="H106" s="35" t="str">
        <f aca="false">IF(OR(A106="",B106=""),"",COUNTIFS(Bugs!$B$6:$B$305,A106,Bugs!$C$6:$C$305,B106))</f>
        <v/>
      </c>
      <c r="I106" s="35" t="str">
        <f aca="false">IF(OR(A106="",B106=""),"",COUNTIFS('UX Notes'!$A$6:$A$205,A106,'UX Notes'!$B$6:$B$205,B106))</f>
        <v/>
      </c>
      <c r="J106" s="32"/>
      <c r="K106" s="32"/>
      <c r="L106" s="32"/>
    </row>
    <row r="107" customFormat="false" ht="15" hidden="false" customHeight="false" outlineLevel="0" collapsed="false">
      <c r="A107" s="31"/>
      <c r="B107" s="32"/>
      <c r="C107" s="48" t="str">
        <f aca="false">IF(OR(A107="",B107=""),"",IFERROR(1/(1/SUMIFS('Check-in'!$C$6:$C$205,'Check-in'!$A$6:$A$205,A107,'Check-in'!$B$6:$B$205,B107)),""))</f>
        <v/>
      </c>
      <c r="D107" s="33"/>
      <c r="E107" s="49" t="str">
        <f aca="false">IF(OR(C107="",D107=""),"",ROUND((D107-C107)*24,1))</f>
        <v/>
      </c>
      <c r="F107" s="32"/>
      <c r="G107" s="32"/>
      <c r="H107" s="35" t="str">
        <f aca="false">IF(OR(A107="",B107=""),"",COUNTIFS(Bugs!$B$6:$B$305,A107,Bugs!$C$6:$C$305,B107))</f>
        <v/>
      </c>
      <c r="I107" s="35" t="str">
        <f aca="false">IF(OR(A107="",B107=""),"",COUNTIFS('UX Notes'!$A$6:$A$205,A107,'UX Notes'!$B$6:$B$205,B107))</f>
        <v/>
      </c>
      <c r="J107" s="32"/>
      <c r="K107" s="32"/>
      <c r="L107" s="32"/>
    </row>
    <row r="108" customFormat="false" ht="15" hidden="false" customHeight="false" outlineLevel="0" collapsed="false">
      <c r="A108" s="31"/>
      <c r="B108" s="32"/>
      <c r="C108" s="48" t="str">
        <f aca="false">IF(OR(A108="",B108=""),"",IFERROR(1/(1/SUMIFS('Check-in'!$C$6:$C$205,'Check-in'!$A$6:$A$205,A108,'Check-in'!$B$6:$B$205,B108)),""))</f>
        <v/>
      </c>
      <c r="D108" s="33"/>
      <c r="E108" s="49" t="str">
        <f aca="false">IF(OR(C108="",D108=""),"",ROUND((D108-C108)*24,1))</f>
        <v/>
      </c>
      <c r="F108" s="32"/>
      <c r="G108" s="32"/>
      <c r="H108" s="35" t="str">
        <f aca="false">IF(OR(A108="",B108=""),"",COUNTIFS(Bugs!$B$6:$B$305,A108,Bugs!$C$6:$C$305,B108))</f>
        <v/>
      </c>
      <c r="I108" s="35" t="str">
        <f aca="false">IF(OR(A108="",B108=""),"",COUNTIFS('UX Notes'!$A$6:$A$205,A108,'UX Notes'!$B$6:$B$205,B108))</f>
        <v/>
      </c>
      <c r="J108" s="32"/>
      <c r="K108" s="32"/>
      <c r="L108" s="32"/>
    </row>
    <row r="109" customFormat="false" ht="15" hidden="false" customHeight="false" outlineLevel="0" collapsed="false">
      <c r="A109" s="31"/>
      <c r="B109" s="32"/>
      <c r="C109" s="48" t="str">
        <f aca="false">IF(OR(A109="",B109=""),"",IFERROR(1/(1/SUMIFS('Check-in'!$C$6:$C$205,'Check-in'!$A$6:$A$205,A109,'Check-in'!$B$6:$B$205,B109)),""))</f>
        <v/>
      </c>
      <c r="D109" s="33"/>
      <c r="E109" s="49" t="str">
        <f aca="false">IF(OR(C109="",D109=""),"",ROUND((D109-C109)*24,1))</f>
        <v/>
      </c>
      <c r="F109" s="32"/>
      <c r="G109" s="32"/>
      <c r="H109" s="35" t="str">
        <f aca="false">IF(OR(A109="",B109=""),"",COUNTIFS(Bugs!$B$6:$B$305,A109,Bugs!$C$6:$C$305,B109))</f>
        <v/>
      </c>
      <c r="I109" s="35" t="str">
        <f aca="false">IF(OR(A109="",B109=""),"",COUNTIFS('UX Notes'!$A$6:$A$205,A109,'UX Notes'!$B$6:$B$205,B109))</f>
        <v/>
      </c>
      <c r="J109" s="32"/>
      <c r="K109" s="32"/>
      <c r="L109" s="32"/>
    </row>
    <row r="110" customFormat="false" ht="15" hidden="false" customHeight="false" outlineLevel="0" collapsed="false">
      <c r="A110" s="31"/>
      <c r="B110" s="32"/>
      <c r="C110" s="48" t="str">
        <f aca="false">IF(OR(A110="",B110=""),"",IFERROR(1/(1/SUMIFS('Check-in'!$C$6:$C$205,'Check-in'!$A$6:$A$205,A110,'Check-in'!$B$6:$B$205,B110)),""))</f>
        <v/>
      </c>
      <c r="D110" s="33"/>
      <c r="E110" s="49" t="str">
        <f aca="false">IF(OR(C110="",D110=""),"",ROUND((D110-C110)*24,1))</f>
        <v/>
      </c>
      <c r="F110" s="32"/>
      <c r="G110" s="32"/>
      <c r="H110" s="35" t="str">
        <f aca="false">IF(OR(A110="",B110=""),"",COUNTIFS(Bugs!$B$6:$B$305,A110,Bugs!$C$6:$C$305,B110))</f>
        <v/>
      </c>
      <c r="I110" s="35" t="str">
        <f aca="false">IF(OR(A110="",B110=""),"",COUNTIFS('UX Notes'!$A$6:$A$205,A110,'UX Notes'!$B$6:$B$205,B110))</f>
        <v/>
      </c>
      <c r="J110" s="32"/>
      <c r="K110" s="32"/>
      <c r="L110" s="32"/>
    </row>
    <row r="111" customFormat="false" ht="15" hidden="false" customHeight="false" outlineLevel="0" collapsed="false">
      <c r="A111" s="31"/>
      <c r="B111" s="32"/>
      <c r="C111" s="48" t="str">
        <f aca="false">IF(OR(A111="",B111=""),"",IFERROR(1/(1/SUMIFS('Check-in'!$C$6:$C$205,'Check-in'!$A$6:$A$205,A111,'Check-in'!$B$6:$B$205,B111)),""))</f>
        <v/>
      </c>
      <c r="D111" s="33"/>
      <c r="E111" s="49" t="str">
        <f aca="false">IF(OR(C111="",D111=""),"",ROUND((D111-C111)*24,1))</f>
        <v/>
      </c>
      <c r="F111" s="32"/>
      <c r="G111" s="32"/>
      <c r="H111" s="35" t="str">
        <f aca="false">IF(OR(A111="",B111=""),"",COUNTIFS(Bugs!$B$6:$B$305,A111,Bugs!$C$6:$C$305,B111))</f>
        <v/>
      </c>
      <c r="I111" s="35" t="str">
        <f aca="false">IF(OR(A111="",B111=""),"",COUNTIFS('UX Notes'!$A$6:$A$205,A111,'UX Notes'!$B$6:$B$205,B111))</f>
        <v/>
      </c>
      <c r="J111" s="32"/>
      <c r="K111" s="32"/>
      <c r="L111" s="32"/>
    </row>
    <row r="112" customFormat="false" ht="15" hidden="false" customHeight="false" outlineLevel="0" collapsed="false">
      <c r="A112" s="31"/>
      <c r="B112" s="32"/>
      <c r="C112" s="48" t="str">
        <f aca="false">IF(OR(A112="",B112=""),"",IFERROR(1/(1/SUMIFS('Check-in'!$C$6:$C$205,'Check-in'!$A$6:$A$205,A112,'Check-in'!$B$6:$B$205,B112)),""))</f>
        <v/>
      </c>
      <c r="D112" s="33"/>
      <c r="E112" s="49" t="str">
        <f aca="false">IF(OR(C112="",D112=""),"",ROUND((D112-C112)*24,1))</f>
        <v/>
      </c>
      <c r="F112" s="32"/>
      <c r="G112" s="32"/>
      <c r="H112" s="35" t="str">
        <f aca="false">IF(OR(A112="",B112=""),"",COUNTIFS(Bugs!$B$6:$B$305,A112,Bugs!$C$6:$C$305,B112))</f>
        <v/>
      </c>
      <c r="I112" s="35" t="str">
        <f aca="false">IF(OR(A112="",B112=""),"",COUNTIFS('UX Notes'!$A$6:$A$205,A112,'UX Notes'!$B$6:$B$205,B112))</f>
        <v/>
      </c>
      <c r="J112" s="32"/>
      <c r="K112" s="32"/>
      <c r="L112" s="32"/>
    </row>
    <row r="113" customFormat="false" ht="15" hidden="false" customHeight="false" outlineLevel="0" collapsed="false">
      <c r="A113" s="31"/>
      <c r="B113" s="32"/>
      <c r="C113" s="48" t="str">
        <f aca="false">IF(OR(A113="",B113=""),"",IFERROR(1/(1/SUMIFS('Check-in'!$C$6:$C$205,'Check-in'!$A$6:$A$205,A113,'Check-in'!$B$6:$B$205,B113)),""))</f>
        <v/>
      </c>
      <c r="D113" s="33"/>
      <c r="E113" s="49" t="str">
        <f aca="false">IF(OR(C113="",D113=""),"",ROUND((D113-C113)*24,1))</f>
        <v/>
      </c>
      <c r="F113" s="32"/>
      <c r="G113" s="32"/>
      <c r="H113" s="35" t="str">
        <f aca="false">IF(OR(A113="",B113=""),"",COUNTIFS(Bugs!$B$6:$B$305,A113,Bugs!$C$6:$C$305,B113))</f>
        <v/>
      </c>
      <c r="I113" s="35" t="str">
        <f aca="false">IF(OR(A113="",B113=""),"",COUNTIFS('UX Notes'!$A$6:$A$205,A113,'UX Notes'!$B$6:$B$205,B113))</f>
        <v/>
      </c>
      <c r="J113" s="32"/>
      <c r="K113" s="32"/>
      <c r="L113" s="32"/>
    </row>
    <row r="114" customFormat="false" ht="15" hidden="false" customHeight="false" outlineLevel="0" collapsed="false">
      <c r="A114" s="31"/>
      <c r="B114" s="32"/>
      <c r="C114" s="48" t="str">
        <f aca="false">IF(OR(A114="",B114=""),"",IFERROR(1/(1/SUMIFS('Check-in'!$C$6:$C$205,'Check-in'!$A$6:$A$205,A114,'Check-in'!$B$6:$B$205,B114)),""))</f>
        <v/>
      </c>
      <c r="D114" s="33"/>
      <c r="E114" s="49" t="str">
        <f aca="false">IF(OR(C114="",D114=""),"",ROUND((D114-C114)*24,1))</f>
        <v/>
      </c>
      <c r="F114" s="32"/>
      <c r="G114" s="32"/>
      <c r="H114" s="35" t="str">
        <f aca="false">IF(OR(A114="",B114=""),"",COUNTIFS(Bugs!$B$6:$B$305,A114,Bugs!$C$6:$C$305,B114))</f>
        <v/>
      </c>
      <c r="I114" s="35" t="str">
        <f aca="false">IF(OR(A114="",B114=""),"",COUNTIFS('UX Notes'!$A$6:$A$205,A114,'UX Notes'!$B$6:$B$205,B114))</f>
        <v/>
      </c>
      <c r="J114" s="32"/>
      <c r="K114" s="32"/>
      <c r="L114" s="32"/>
    </row>
    <row r="115" customFormat="false" ht="15" hidden="false" customHeight="false" outlineLevel="0" collapsed="false">
      <c r="A115" s="31"/>
      <c r="B115" s="32"/>
      <c r="C115" s="48" t="str">
        <f aca="false">IF(OR(A115="",B115=""),"",IFERROR(1/(1/SUMIFS('Check-in'!$C$6:$C$205,'Check-in'!$A$6:$A$205,A115,'Check-in'!$B$6:$B$205,B115)),""))</f>
        <v/>
      </c>
      <c r="D115" s="33"/>
      <c r="E115" s="49" t="str">
        <f aca="false">IF(OR(C115="",D115=""),"",ROUND((D115-C115)*24,1))</f>
        <v/>
      </c>
      <c r="F115" s="32"/>
      <c r="G115" s="32"/>
      <c r="H115" s="35" t="str">
        <f aca="false">IF(OR(A115="",B115=""),"",COUNTIFS(Bugs!$B$6:$B$305,A115,Bugs!$C$6:$C$305,B115))</f>
        <v/>
      </c>
      <c r="I115" s="35" t="str">
        <f aca="false">IF(OR(A115="",B115=""),"",COUNTIFS('UX Notes'!$A$6:$A$205,A115,'UX Notes'!$B$6:$B$205,B115))</f>
        <v/>
      </c>
      <c r="J115" s="32"/>
      <c r="K115" s="32"/>
      <c r="L115" s="32"/>
    </row>
    <row r="116" customFormat="false" ht="15" hidden="false" customHeight="false" outlineLevel="0" collapsed="false">
      <c r="A116" s="31"/>
      <c r="B116" s="32"/>
      <c r="C116" s="48" t="str">
        <f aca="false">IF(OR(A116="",B116=""),"",IFERROR(1/(1/SUMIFS('Check-in'!$C$6:$C$205,'Check-in'!$A$6:$A$205,A116,'Check-in'!$B$6:$B$205,B116)),""))</f>
        <v/>
      </c>
      <c r="D116" s="33"/>
      <c r="E116" s="49" t="str">
        <f aca="false">IF(OR(C116="",D116=""),"",ROUND((D116-C116)*24,1))</f>
        <v/>
      </c>
      <c r="F116" s="32"/>
      <c r="G116" s="32"/>
      <c r="H116" s="35" t="str">
        <f aca="false">IF(OR(A116="",B116=""),"",COUNTIFS(Bugs!$B$6:$B$305,A116,Bugs!$C$6:$C$305,B116))</f>
        <v/>
      </c>
      <c r="I116" s="35" t="str">
        <f aca="false">IF(OR(A116="",B116=""),"",COUNTIFS('UX Notes'!$A$6:$A$205,A116,'UX Notes'!$B$6:$B$205,B116))</f>
        <v/>
      </c>
      <c r="J116" s="32"/>
      <c r="K116" s="32"/>
      <c r="L116" s="32"/>
    </row>
    <row r="117" customFormat="false" ht="15" hidden="false" customHeight="false" outlineLevel="0" collapsed="false">
      <c r="A117" s="31"/>
      <c r="B117" s="32"/>
      <c r="C117" s="48" t="str">
        <f aca="false">IF(OR(A117="",B117=""),"",IFERROR(1/(1/SUMIFS('Check-in'!$C$6:$C$205,'Check-in'!$A$6:$A$205,A117,'Check-in'!$B$6:$B$205,B117)),""))</f>
        <v/>
      </c>
      <c r="D117" s="33"/>
      <c r="E117" s="49" t="str">
        <f aca="false">IF(OR(C117="",D117=""),"",ROUND((D117-C117)*24,1))</f>
        <v/>
      </c>
      <c r="F117" s="32"/>
      <c r="G117" s="32"/>
      <c r="H117" s="35" t="str">
        <f aca="false">IF(OR(A117="",B117=""),"",COUNTIFS(Bugs!$B$6:$B$305,A117,Bugs!$C$6:$C$305,B117))</f>
        <v/>
      </c>
      <c r="I117" s="35" t="str">
        <f aca="false">IF(OR(A117="",B117=""),"",COUNTIFS('UX Notes'!$A$6:$A$205,A117,'UX Notes'!$B$6:$B$205,B117))</f>
        <v/>
      </c>
      <c r="J117" s="32"/>
      <c r="K117" s="32"/>
      <c r="L117" s="32"/>
    </row>
    <row r="118" customFormat="false" ht="15" hidden="false" customHeight="false" outlineLevel="0" collapsed="false">
      <c r="A118" s="31"/>
      <c r="B118" s="32"/>
      <c r="C118" s="48" t="str">
        <f aca="false">IF(OR(A118="",B118=""),"",IFERROR(1/(1/SUMIFS('Check-in'!$C$6:$C$205,'Check-in'!$A$6:$A$205,A118,'Check-in'!$B$6:$B$205,B118)),""))</f>
        <v/>
      </c>
      <c r="D118" s="33"/>
      <c r="E118" s="49" t="str">
        <f aca="false">IF(OR(C118="",D118=""),"",ROUND((D118-C118)*24,1))</f>
        <v/>
      </c>
      <c r="F118" s="32"/>
      <c r="G118" s="32"/>
      <c r="H118" s="35" t="str">
        <f aca="false">IF(OR(A118="",B118=""),"",COUNTIFS(Bugs!$B$6:$B$305,A118,Bugs!$C$6:$C$305,B118))</f>
        <v/>
      </c>
      <c r="I118" s="35" t="str">
        <f aca="false">IF(OR(A118="",B118=""),"",COUNTIFS('UX Notes'!$A$6:$A$205,A118,'UX Notes'!$B$6:$B$205,B118))</f>
        <v/>
      </c>
      <c r="J118" s="32"/>
      <c r="K118" s="32"/>
      <c r="L118" s="32"/>
    </row>
    <row r="119" customFormat="false" ht="15" hidden="false" customHeight="false" outlineLevel="0" collapsed="false">
      <c r="A119" s="31"/>
      <c r="B119" s="32"/>
      <c r="C119" s="48" t="str">
        <f aca="false">IF(OR(A119="",B119=""),"",IFERROR(1/(1/SUMIFS('Check-in'!$C$6:$C$205,'Check-in'!$A$6:$A$205,A119,'Check-in'!$B$6:$B$205,B119)),""))</f>
        <v/>
      </c>
      <c r="D119" s="33"/>
      <c r="E119" s="49" t="str">
        <f aca="false">IF(OR(C119="",D119=""),"",ROUND((D119-C119)*24,1))</f>
        <v/>
      </c>
      <c r="F119" s="32"/>
      <c r="G119" s="32"/>
      <c r="H119" s="35" t="str">
        <f aca="false">IF(OR(A119="",B119=""),"",COUNTIFS(Bugs!$B$6:$B$305,A119,Bugs!$C$6:$C$305,B119))</f>
        <v/>
      </c>
      <c r="I119" s="35" t="str">
        <f aca="false">IF(OR(A119="",B119=""),"",COUNTIFS('UX Notes'!$A$6:$A$205,A119,'UX Notes'!$B$6:$B$205,B119))</f>
        <v/>
      </c>
      <c r="J119" s="32"/>
      <c r="K119" s="32"/>
      <c r="L119" s="32"/>
    </row>
    <row r="120" customFormat="false" ht="15" hidden="false" customHeight="false" outlineLevel="0" collapsed="false">
      <c r="A120" s="31"/>
      <c r="B120" s="32"/>
      <c r="C120" s="48" t="str">
        <f aca="false">IF(OR(A120="",B120=""),"",IFERROR(1/(1/SUMIFS('Check-in'!$C$6:$C$205,'Check-in'!$A$6:$A$205,A120,'Check-in'!$B$6:$B$205,B120)),""))</f>
        <v/>
      </c>
      <c r="D120" s="33"/>
      <c r="E120" s="49" t="str">
        <f aca="false">IF(OR(C120="",D120=""),"",ROUND((D120-C120)*24,1))</f>
        <v/>
      </c>
      <c r="F120" s="32"/>
      <c r="G120" s="32"/>
      <c r="H120" s="35" t="str">
        <f aca="false">IF(OR(A120="",B120=""),"",COUNTIFS(Bugs!$B$6:$B$305,A120,Bugs!$C$6:$C$305,B120))</f>
        <v/>
      </c>
      <c r="I120" s="35" t="str">
        <f aca="false">IF(OR(A120="",B120=""),"",COUNTIFS('UX Notes'!$A$6:$A$205,A120,'UX Notes'!$B$6:$B$205,B120))</f>
        <v/>
      </c>
      <c r="J120" s="32"/>
      <c r="K120" s="32"/>
      <c r="L120" s="32"/>
    </row>
    <row r="121" customFormat="false" ht="15" hidden="false" customHeight="false" outlineLevel="0" collapsed="false">
      <c r="A121" s="31"/>
      <c r="B121" s="32"/>
      <c r="C121" s="48" t="str">
        <f aca="false">IF(OR(A121="",B121=""),"",IFERROR(1/(1/SUMIFS('Check-in'!$C$6:$C$205,'Check-in'!$A$6:$A$205,A121,'Check-in'!$B$6:$B$205,B121)),""))</f>
        <v/>
      </c>
      <c r="D121" s="33"/>
      <c r="E121" s="49" t="str">
        <f aca="false">IF(OR(C121="",D121=""),"",ROUND((D121-C121)*24,1))</f>
        <v/>
      </c>
      <c r="F121" s="32"/>
      <c r="G121" s="32"/>
      <c r="H121" s="35" t="str">
        <f aca="false">IF(OR(A121="",B121=""),"",COUNTIFS(Bugs!$B$6:$B$305,A121,Bugs!$C$6:$C$305,B121))</f>
        <v/>
      </c>
      <c r="I121" s="35" t="str">
        <f aca="false">IF(OR(A121="",B121=""),"",COUNTIFS('UX Notes'!$A$6:$A$205,A121,'UX Notes'!$B$6:$B$205,B121))</f>
        <v/>
      </c>
      <c r="J121" s="32"/>
      <c r="K121" s="32"/>
      <c r="L121" s="32"/>
    </row>
    <row r="122" customFormat="false" ht="15" hidden="false" customHeight="false" outlineLevel="0" collapsed="false">
      <c r="A122" s="31"/>
      <c r="B122" s="32"/>
      <c r="C122" s="48" t="str">
        <f aca="false">IF(OR(A122="",B122=""),"",IFERROR(1/(1/SUMIFS('Check-in'!$C$6:$C$205,'Check-in'!$A$6:$A$205,A122,'Check-in'!$B$6:$B$205,B122)),""))</f>
        <v/>
      </c>
      <c r="D122" s="33"/>
      <c r="E122" s="49" t="str">
        <f aca="false">IF(OR(C122="",D122=""),"",ROUND((D122-C122)*24,1))</f>
        <v/>
      </c>
      <c r="F122" s="32"/>
      <c r="G122" s="32"/>
      <c r="H122" s="35" t="str">
        <f aca="false">IF(OR(A122="",B122=""),"",COUNTIFS(Bugs!$B$6:$B$305,A122,Bugs!$C$6:$C$305,B122))</f>
        <v/>
      </c>
      <c r="I122" s="35" t="str">
        <f aca="false">IF(OR(A122="",B122=""),"",COUNTIFS('UX Notes'!$A$6:$A$205,A122,'UX Notes'!$B$6:$B$205,B122))</f>
        <v/>
      </c>
      <c r="J122" s="32"/>
      <c r="K122" s="32"/>
      <c r="L122" s="32"/>
    </row>
    <row r="123" customFormat="false" ht="15" hidden="false" customHeight="false" outlineLevel="0" collapsed="false">
      <c r="A123" s="31"/>
      <c r="B123" s="32"/>
      <c r="C123" s="48" t="str">
        <f aca="false">IF(OR(A123="",B123=""),"",IFERROR(1/(1/SUMIFS('Check-in'!$C$6:$C$205,'Check-in'!$A$6:$A$205,A123,'Check-in'!$B$6:$B$205,B123)),""))</f>
        <v/>
      </c>
      <c r="D123" s="33"/>
      <c r="E123" s="49" t="str">
        <f aca="false">IF(OR(C123="",D123=""),"",ROUND((D123-C123)*24,1))</f>
        <v/>
      </c>
      <c r="F123" s="32"/>
      <c r="G123" s="32"/>
      <c r="H123" s="35" t="str">
        <f aca="false">IF(OR(A123="",B123=""),"",COUNTIFS(Bugs!$B$6:$B$305,A123,Bugs!$C$6:$C$305,B123))</f>
        <v/>
      </c>
      <c r="I123" s="35" t="str">
        <f aca="false">IF(OR(A123="",B123=""),"",COUNTIFS('UX Notes'!$A$6:$A$205,A123,'UX Notes'!$B$6:$B$205,B123))</f>
        <v/>
      </c>
      <c r="J123" s="32"/>
      <c r="K123" s="32"/>
      <c r="L123" s="32"/>
    </row>
    <row r="124" customFormat="false" ht="15" hidden="false" customHeight="false" outlineLevel="0" collapsed="false">
      <c r="A124" s="31"/>
      <c r="B124" s="32"/>
      <c r="C124" s="48" t="str">
        <f aca="false">IF(OR(A124="",B124=""),"",IFERROR(1/(1/SUMIFS('Check-in'!$C$6:$C$205,'Check-in'!$A$6:$A$205,A124,'Check-in'!$B$6:$B$205,B124)),""))</f>
        <v/>
      </c>
      <c r="D124" s="33"/>
      <c r="E124" s="49" t="str">
        <f aca="false">IF(OR(C124="",D124=""),"",ROUND((D124-C124)*24,1))</f>
        <v/>
      </c>
      <c r="F124" s="32"/>
      <c r="G124" s="32"/>
      <c r="H124" s="35" t="str">
        <f aca="false">IF(OR(A124="",B124=""),"",COUNTIFS(Bugs!$B$6:$B$305,A124,Bugs!$C$6:$C$305,B124))</f>
        <v/>
      </c>
      <c r="I124" s="35" t="str">
        <f aca="false">IF(OR(A124="",B124=""),"",COUNTIFS('UX Notes'!$A$6:$A$205,A124,'UX Notes'!$B$6:$B$205,B124))</f>
        <v/>
      </c>
      <c r="J124" s="32"/>
      <c r="K124" s="32"/>
      <c r="L124" s="32"/>
    </row>
    <row r="125" customFormat="false" ht="15" hidden="false" customHeight="false" outlineLevel="0" collapsed="false">
      <c r="A125" s="31"/>
      <c r="B125" s="32"/>
      <c r="C125" s="48" t="str">
        <f aca="false">IF(OR(A125="",B125=""),"",IFERROR(1/(1/SUMIFS('Check-in'!$C$6:$C$205,'Check-in'!$A$6:$A$205,A125,'Check-in'!$B$6:$B$205,B125)),""))</f>
        <v/>
      </c>
      <c r="D125" s="33"/>
      <c r="E125" s="49" t="str">
        <f aca="false">IF(OR(C125="",D125=""),"",ROUND((D125-C125)*24,1))</f>
        <v/>
      </c>
      <c r="F125" s="32"/>
      <c r="G125" s="32"/>
      <c r="H125" s="35" t="str">
        <f aca="false">IF(OR(A125="",B125=""),"",COUNTIFS(Bugs!$B$6:$B$305,A125,Bugs!$C$6:$C$305,B125))</f>
        <v/>
      </c>
      <c r="I125" s="35" t="str">
        <f aca="false">IF(OR(A125="",B125=""),"",COUNTIFS('UX Notes'!$A$6:$A$205,A125,'UX Notes'!$B$6:$B$205,B125))</f>
        <v/>
      </c>
      <c r="J125" s="32"/>
      <c r="K125" s="32"/>
      <c r="L125" s="32"/>
    </row>
    <row r="126" customFormat="false" ht="15" hidden="false" customHeight="false" outlineLevel="0" collapsed="false">
      <c r="A126" s="31"/>
      <c r="B126" s="32"/>
      <c r="C126" s="48" t="str">
        <f aca="false">IF(OR(A126="",B126=""),"",IFERROR(1/(1/SUMIFS('Check-in'!$C$6:$C$205,'Check-in'!$A$6:$A$205,A126,'Check-in'!$B$6:$B$205,B126)),""))</f>
        <v/>
      </c>
      <c r="D126" s="33"/>
      <c r="E126" s="49" t="str">
        <f aca="false">IF(OR(C126="",D126=""),"",ROUND((D126-C126)*24,1))</f>
        <v/>
      </c>
      <c r="F126" s="32"/>
      <c r="G126" s="32"/>
      <c r="H126" s="35" t="str">
        <f aca="false">IF(OR(A126="",B126=""),"",COUNTIFS(Bugs!$B$6:$B$305,A126,Bugs!$C$6:$C$305,B126))</f>
        <v/>
      </c>
      <c r="I126" s="35" t="str">
        <f aca="false">IF(OR(A126="",B126=""),"",COUNTIFS('UX Notes'!$A$6:$A$205,A126,'UX Notes'!$B$6:$B$205,B126))</f>
        <v/>
      </c>
      <c r="J126" s="32"/>
      <c r="K126" s="32"/>
      <c r="L126" s="32"/>
    </row>
    <row r="127" customFormat="false" ht="15" hidden="false" customHeight="false" outlineLevel="0" collapsed="false">
      <c r="A127" s="31"/>
      <c r="B127" s="32"/>
      <c r="C127" s="48" t="str">
        <f aca="false">IF(OR(A127="",B127=""),"",IFERROR(1/(1/SUMIFS('Check-in'!$C$6:$C$205,'Check-in'!$A$6:$A$205,A127,'Check-in'!$B$6:$B$205,B127)),""))</f>
        <v/>
      </c>
      <c r="D127" s="33"/>
      <c r="E127" s="49" t="str">
        <f aca="false">IF(OR(C127="",D127=""),"",ROUND((D127-C127)*24,1))</f>
        <v/>
      </c>
      <c r="F127" s="32"/>
      <c r="G127" s="32"/>
      <c r="H127" s="35" t="str">
        <f aca="false">IF(OR(A127="",B127=""),"",COUNTIFS(Bugs!$B$6:$B$305,A127,Bugs!$C$6:$C$305,B127))</f>
        <v/>
      </c>
      <c r="I127" s="35" t="str">
        <f aca="false">IF(OR(A127="",B127=""),"",COUNTIFS('UX Notes'!$A$6:$A$205,A127,'UX Notes'!$B$6:$B$205,B127))</f>
        <v/>
      </c>
      <c r="J127" s="32"/>
      <c r="K127" s="32"/>
      <c r="L127" s="32"/>
    </row>
    <row r="128" customFormat="false" ht="15" hidden="false" customHeight="false" outlineLevel="0" collapsed="false">
      <c r="A128" s="31"/>
      <c r="B128" s="32"/>
      <c r="C128" s="48" t="str">
        <f aca="false">IF(OR(A128="",B128=""),"",IFERROR(1/(1/SUMIFS('Check-in'!$C$6:$C$205,'Check-in'!$A$6:$A$205,A128,'Check-in'!$B$6:$B$205,B128)),""))</f>
        <v/>
      </c>
      <c r="D128" s="33"/>
      <c r="E128" s="49" t="str">
        <f aca="false">IF(OR(C128="",D128=""),"",ROUND((D128-C128)*24,1))</f>
        <v/>
      </c>
      <c r="F128" s="32"/>
      <c r="G128" s="32"/>
      <c r="H128" s="35" t="str">
        <f aca="false">IF(OR(A128="",B128=""),"",COUNTIFS(Bugs!$B$6:$B$305,A128,Bugs!$C$6:$C$305,B128))</f>
        <v/>
      </c>
      <c r="I128" s="35" t="str">
        <f aca="false">IF(OR(A128="",B128=""),"",COUNTIFS('UX Notes'!$A$6:$A$205,A128,'UX Notes'!$B$6:$B$205,B128))</f>
        <v/>
      </c>
      <c r="J128" s="32"/>
      <c r="K128" s="32"/>
      <c r="L128" s="32"/>
    </row>
    <row r="129" customFormat="false" ht="15" hidden="false" customHeight="false" outlineLevel="0" collapsed="false">
      <c r="A129" s="31"/>
      <c r="B129" s="32"/>
      <c r="C129" s="48" t="str">
        <f aca="false">IF(OR(A129="",B129=""),"",IFERROR(1/(1/SUMIFS('Check-in'!$C$6:$C$205,'Check-in'!$A$6:$A$205,A129,'Check-in'!$B$6:$B$205,B129)),""))</f>
        <v/>
      </c>
      <c r="D129" s="33"/>
      <c r="E129" s="49" t="str">
        <f aca="false">IF(OR(C129="",D129=""),"",ROUND((D129-C129)*24,1))</f>
        <v/>
      </c>
      <c r="F129" s="32"/>
      <c r="G129" s="32"/>
      <c r="H129" s="35" t="str">
        <f aca="false">IF(OR(A129="",B129=""),"",COUNTIFS(Bugs!$B$6:$B$305,A129,Bugs!$C$6:$C$305,B129))</f>
        <v/>
      </c>
      <c r="I129" s="35" t="str">
        <f aca="false">IF(OR(A129="",B129=""),"",COUNTIFS('UX Notes'!$A$6:$A$205,A129,'UX Notes'!$B$6:$B$205,B129))</f>
        <v/>
      </c>
      <c r="J129" s="32"/>
      <c r="K129" s="32"/>
      <c r="L129" s="32"/>
    </row>
    <row r="130" customFormat="false" ht="15" hidden="false" customHeight="false" outlineLevel="0" collapsed="false">
      <c r="A130" s="31"/>
      <c r="B130" s="32"/>
      <c r="C130" s="48" t="str">
        <f aca="false">IF(OR(A130="",B130=""),"",IFERROR(1/(1/SUMIFS('Check-in'!$C$6:$C$205,'Check-in'!$A$6:$A$205,A130,'Check-in'!$B$6:$B$205,B130)),""))</f>
        <v/>
      </c>
      <c r="D130" s="33"/>
      <c r="E130" s="49" t="str">
        <f aca="false">IF(OR(C130="",D130=""),"",ROUND((D130-C130)*24,1))</f>
        <v/>
      </c>
      <c r="F130" s="32"/>
      <c r="G130" s="32"/>
      <c r="H130" s="35" t="str">
        <f aca="false">IF(OR(A130="",B130=""),"",COUNTIFS(Bugs!$B$6:$B$305,A130,Bugs!$C$6:$C$305,B130))</f>
        <v/>
      </c>
      <c r="I130" s="35" t="str">
        <f aca="false">IF(OR(A130="",B130=""),"",COUNTIFS('UX Notes'!$A$6:$A$205,A130,'UX Notes'!$B$6:$B$205,B130))</f>
        <v/>
      </c>
      <c r="J130" s="32"/>
      <c r="K130" s="32"/>
      <c r="L130" s="32"/>
    </row>
    <row r="131" customFormat="false" ht="15" hidden="false" customHeight="false" outlineLevel="0" collapsed="false">
      <c r="A131" s="31"/>
      <c r="B131" s="32"/>
      <c r="C131" s="48" t="str">
        <f aca="false">IF(OR(A131="",B131=""),"",IFERROR(1/(1/SUMIFS('Check-in'!$C$6:$C$205,'Check-in'!$A$6:$A$205,A131,'Check-in'!$B$6:$B$205,B131)),""))</f>
        <v/>
      </c>
      <c r="D131" s="33"/>
      <c r="E131" s="49" t="str">
        <f aca="false">IF(OR(C131="",D131=""),"",ROUND((D131-C131)*24,1))</f>
        <v/>
      </c>
      <c r="F131" s="32"/>
      <c r="G131" s="32"/>
      <c r="H131" s="35" t="str">
        <f aca="false">IF(OR(A131="",B131=""),"",COUNTIFS(Bugs!$B$6:$B$305,A131,Bugs!$C$6:$C$305,B131))</f>
        <v/>
      </c>
      <c r="I131" s="35" t="str">
        <f aca="false">IF(OR(A131="",B131=""),"",COUNTIFS('UX Notes'!$A$6:$A$205,A131,'UX Notes'!$B$6:$B$205,B131))</f>
        <v/>
      </c>
      <c r="J131" s="32"/>
      <c r="K131" s="32"/>
      <c r="L131" s="32"/>
    </row>
    <row r="132" customFormat="false" ht="15" hidden="false" customHeight="false" outlineLevel="0" collapsed="false">
      <c r="A132" s="31"/>
      <c r="B132" s="32"/>
      <c r="C132" s="48" t="str">
        <f aca="false">IF(OR(A132="",B132=""),"",IFERROR(1/(1/SUMIFS('Check-in'!$C$6:$C$205,'Check-in'!$A$6:$A$205,A132,'Check-in'!$B$6:$B$205,B132)),""))</f>
        <v/>
      </c>
      <c r="D132" s="33"/>
      <c r="E132" s="49" t="str">
        <f aca="false">IF(OR(C132="",D132=""),"",ROUND((D132-C132)*24,1))</f>
        <v/>
      </c>
      <c r="F132" s="32"/>
      <c r="G132" s="32"/>
      <c r="H132" s="35" t="str">
        <f aca="false">IF(OR(A132="",B132=""),"",COUNTIFS(Bugs!$B$6:$B$305,A132,Bugs!$C$6:$C$305,B132))</f>
        <v/>
      </c>
      <c r="I132" s="35" t="str">
        <f aca="false">IF(OR(A132="",B132=""),"",COUNTIFS('UX Notes'!$A$6:$A$205,A132,'UX Notes'!$B$6:$B$205,B132))</f>
        <v/>
      </c>
      <c r="J132" s="32"/>
      <c r="K132" s="32"/>
      <c r="L132" s="32"/>
    </row>
    <row r="133" customFormat="false" ht="15" hidden="false" customHeight="false" outlineLevel="0" collapsed="false">
      <c r="A133" s="31"/>
      <c r="B133" s="32"/>
      <c r="C133" s="48" t="str">
        <f aca="false">IF(OR(A133="",B133=""),"",IFERROR(1/(1/SUMIFS('Check-in'!$C$6:$C$205,'Check-in'!$A$6:$A$205,A133,'Check-in'!$B$6:$B$205,B133)),""))</f>
        <v/>
      </c>
      <c r="D133" s="33"/>
      <c r="E133" s="49" t="str">
        <f aca="false">IF(OR(C133="",D133=""),"",ROUND((D133-C133)*24,1))</f>
        <v/>
      </c>
      <c r="F133" s="32"/>
      <c r="G133" s="32"/>
      <c r="H133" s="35" t="str">
        <f aca="false">IF(OR(A133="",B133=""),"",COUNTIFS(Bugs!$B$6:$B$305,A133,Bugs!$C$6:$C$305,B133))</f>
        <v/>
      </c>
      <c r="I133" s="35" t="str">
        <f aca="false">IF(OR(A133="",B133=""),"",COUNTIFS('UX Notes'!$A$6:$A$205,A133,'UX Notes'!$B$6:$B$205,B133))</f>
        <v/>
      </c>
      <c r="J133" s="32"/>
      <c r="K133" s="32"/>
      <c r="L133" s="32"/>
    </row>
    <row r="134" customFormat="false" ht="15" hidden="false" customHeight="false" outlineLevel="0" collapsed="false">
      <c r="A134" s="31"/>
      <c r="B134" s="32"/>
      <c r="C134" s="48" t="str">
        <f aca="false">IF(OR(A134="",B134=""),"",IFERROR(1/(1/SUMIFS('Check-in'!$C$6:$C$205,'Check-in'!$A$6:$A$205,A134,'Check-in'!$B$6:$B$205,B134)),""))</f>
        <v/>
      </c>
      <c r="D134" s="33"/>
      <c r="E134" s="49" t="str">
        <f aca="false">IF(OR(C134="",D134=""),"",ROUND((D134-C134)*24,1))</f>
        <v/>
      </c>
      <c r="F134" s="32"/>
      <c r="G134" s="32"/>
      <c r="H134" s="35" t="str">
        <f aca="false">IF(OR(A134="",B134=""),"",COUNTIFS(Bugs!$B$6:$B$305,A134,Bugs!$C$6:$C$305,B134))</f>
        <v/>
      </c>
      <c r="I134" s="35" t="str">
        <f aca="false">IF(OR(A134="",B134=""),"",COUNTIFS('UX Notes'!$A$6:$A$205,A134,'UX Notes'!$B$6:$B$205,B134))</f>
        <v/>
      </c>
      <c r="J134" s="32"/>
      <c r="K134" s="32"/>
      <c r="L134" s="32"/>
    </row>
    <row r="135" customFormat="false" ht="15" hidden="false" customHeight="false" outlineLevel="0" collapsed="false">
      <c r="A135" s="31"/>
      <c r="B135" s="32"/>
      <c r="C135" s="48" t="str">
        <f aca="false">IF(OR(A135="",B135=""),"",IFERROR(1/(1/SUMIFS('Check-in'!$C$6:$C$205,'Check-in'!$A$6:$A$205,A135,'Check-in'!$B$6:$B$205,B135)),""))</f>
        <v/>
      </c>
      <c r="D135" s="33"/>
      <c r="E135" s="49" t="str">
        <f aca="false">IF(OR(C135="",D135=""),"",ROUND((D135-C135)*24,1))</f>
        <v/>
      </c>
      <c r="F135" s="32"/>
      <c r="G135" s="32"/>
      <c r="H135" s="35" t="str">
        <f aca="false">IF(OR(A135="",B135=""),"",COUNTIFS(Bugs!$B$6:$B$305,A135,Bugs!$C$6:$C$305,B135))</f>
        <v/>
      </c>
      <c r="I135" s="35" t="str">
        <f aca="false">IF(OR(A135="",B135=""),"",COUNTIFS('UX Notes'!$A$6:$A$205,A135,'UX Notes'!$B$6:$B$205,B135))</f>
        <v/>
      </c>
      <c r="J135" s="32"/>
      <c r="K135" s="32"/>
      <c r="L135" s="32"/>
    </row>
    <row r="136" customFormat="false" ht="15" hidden="false" customHeight="false" outlineLevel="0" collapsed="false">
      <c r="A136" s="31"/>
      <c r="B136" s="32"/>
      <c r="C136" s="48" t="str">
        <f aca="false">IF(OR(A136="",B136=""),"",IFERROR(1/(1/SUMIFS('Check-in'!$C$6:$C$205,'Check-in'!$A$6:$A$205,A136,'Check-in'!$B$6:$B$205,B136)),""))</f>
        <v/>
      </c>
      <c r="D136" s="33"/>
      <c r="E136" s="49" t="str">
        <f aca="false">IF(OR(C136="",D136=""),"",ROUND((D136-C136)*24,1))</f>
        <v/>
      </c>
      <c r="F136" s="32"/>
      <c r="G136" s="32"/>
      <c r="H136" s="35" t="str">
        <f aca="false">IF(OR(A136="",B136=""),"",COUNTIFS(Bugs!$B$6:$B$305,A136,Bugs!$C$6:$C$305,B136))</f>
        <v/>
      </c>
      <c r="I136" s="35" t="str">
        <f aca="false">IF(OR(A136="",B136=""),"",COUNTIFS('UX Notes'!$A$6:$A$205,A136,'UX Notes'!$B$6:$B$205,B136))</f>
        <v/>
      </c>
      <c r="J136" s="32"/>
      <c r="K136" s="32"/>
      <c r="L136" s="32"/>
    </row>
    <row r="137" customFormat="false" ht="15" hidden="false" customHeight="false" outlineLevel="0" collapsed="false">
      <c r="A137" s="31"/>
      <c r="B137" s="32"/>
      <c r="C137" s="48" t="str">
        <f aca="false">IF(OR(A137="",B137=""),"",IFERROR(1/(1/SUMIFS('Check-in'!$C$6:$C$205,'Check-in'!$A$6:$A$205,A137,'Check-in'!$B$6:$B$205,B137)),""))</f>
        <v/>
      </c>
      <c r="D137" s="33"/>
      <c r="E137" s="49" t="str">
        <f aca="false">IF(OR(C137="",D137=""),"",ROUND((D137-C137)*24,1))</f>
        <v/>
      </c>
      <c r="F137" s="32"/>
      <c r="G137" s="32"/>
      <c r="H137" s="35" t="str">
        <f aca="false">IF(OR(A137="",B137=""),"",COUNTIFS(Bugs!$B$6:$B$305,A137,Bugs!$C$6:$C$305,B137))</f>
        <v/>
      </c>
      <c r="I137" s="35" t="str">
        <f aca="false">IF(OR(A137="",B137=""),"",COUNTIFS('UX Notes'!$A$6:$A$205,A137,'UX Notes'!$B$6:$B$205,B137))</f>
        <v/>
      </c>
      <c r="J137" s="32"/>
      <c r="K137" s="32"/>
      <c r="L137" s="32"/>
    </row>
    <row r="138" customFormat="false" ht="15" hidden="false" customHeight="false" outlineLevel="0" collapsed="false">
      <c r="A138" s="31"/>
      <c r="B138" s="32"/>
      <c r="C138" s="48" t="str">
        <f aca="false">IF(OR(A138="",B138=""),"",IFERROR(1/(1/SUMIFS('Check-in'!$C$6:$C$205,'Check-in'!$A$6:$A$205,A138,'Check-in'!$B$6:$B$205,B138)),""))</f>
        <v/>
      </c>
      <c r="D138" s="33"/>
      <c r="E138" s="49" t="str">
        <f aca="false">IF(OR(C138="",D138=""),"",ROUND((D138-C138)*24,1))</f>
        <v/>
      </c>
      <c r="F138" s="32"/>
      <c r="G138" s="32"/>
      <c r="H138" s="35" t="str">
        <f aca="false">IF(OR(A138="",B138=""),"",COUNTIFS(Bugs!$B$6:$B$305,A138,Bugs!$C$6:$C$305,B138))</f>
        <v/>
      </c>
      <c r="I138" s="35" t="str">
        <f aca="false">IF(OR(A138="",B138=""),"",COUNTIFS('UX Notes'!$A$6:$A$205,A138,'UX Notes'!$B$6:$B$205,B138))</f>
        <v/>
      </c>
      <c r="J138" s="32"/>
      <c r="K138" s="32"/>
      <c r="L138" s="32"/>
    </row>
    <row r="139" customFormat="false" ht="15" hidden="false" customHeight="false" outlineLevel="0" collapsed="false">
      <c r="A139" s="31"/>
      <c r="B139" s="32"/>
      <c r="C139" s="48" t="str">
        <f aca="false">IF(OR(A139="",B139=""),"",IFERROR(1/(1/SUMIFS('Check-in'!$C$6:$C$205,'Check-in'!$A$6:$A$205,A139,'Check-in'!$B$6:$B$205,B139)),""))</f>
        <v/>
      </c>
      <c r="D139" s="33"/>
      <c r="E139" s="49" t="str">
        <f aca="false">IF(OR(C139="",D139=""),"",ROUND((D139-C139)*24,1))</f>
        <v/>
      </c>
      <c r="F139" s="32"/>
      <c r="G139" s="32"/>
      <c r="H139" s="35" t="str">
        <f aca="false">IF(OR(A139="",B139=""),"",COUNTIFS(Bugs!$B$6:$B$305,A139,Bugs!$C$6:$C$305,B139))</f>
        <v/>
      </c>
      <c r="I139" s="35" t="str">
        <f aca="false">IF(OR(A139="",B139=""),"",COUNTIFS('UX Notes'!$A$6:$A$205,A139,'UX Notes'!$B$6:$B$205,B139))</f>
        <v/>
      </c>
      <c r="J139" s="32"/>
      <c r="K139" s="32"/>
      <c r="L139" s="32"/>
    </row>
    <row r="140" customFormat="false" ht="15" hidden="false" customHeight="false" outlineLevel="0" collapsed="false">
      <c r="A140" s="31"/>
      <c r="B140" s="32"/>
      <c r="C140" s="48" t="str">
        <f aca="false">IF(OR(A140="",B140=""),"",IFERROR(1/(1/SUMIFS('Check-in'!$C$6:$C$205,'Check-in'!$A$6:$A$205,A140,'Check-in'!$B$6:$B$205,B140)),""))</f>
        <v/>
      </c>
      <c r="D140" s="33"/>
      <c r="E140" s="49" t="str">
        <f aca="false">IF(OR(C140="",D140=""),"",ROUND((D140-C140)*24,1))</f>
        <v/>
      </c>
      <c r="F140" s="32"/>
      <c r="G140" s="32"/>
      <c r="H140" s="35" t="str">
        <f aca="false">IF(OR(A140="",B140=""),"",COUNTIFS(Bugs!$B$6:$B$305,A140,Bugs!$C$6:$C$305,B140))</f>
        <v/>
      </c>
      <c r="I140" s="35" t="str">
        <f aca="false">IF(OR(A140="",B140=""),"",COUNTIFS('UX Notes'!$A$6:$A$205,A140,'UX Notes'!$B$6:$B$205,B140))</f>
        <v/>
      </c>
      <c r="J140" s="32"/>
      <c r="K140" s="32"/>
      <c r="L140" s="32"/>
    </row>
    <row r="141" customFormat="false" ht="15" hidden="false" customHeight="false" outlineLevel="0" collapsed="false">
      <c r="A141" s="31"/>
      <c r="B141" s="32"/>
      <c r="C141" s="48" t="str">
        <f aca="false">IF(OR(A141="",B141=""),"",IFERROR(1/(1/SUMIFS('Check-in'!$C$6:$C$205,'Check-in'!$A$6:$A$205,A141,'Check-in'!$B$6:$B$205,B141)),""))</f>
        <v/>
      </c>
      <c r="D141" s="33"/>
      <c r="E141" s="49" t="str">
        <f aca="false">IF(OR(C141="",D141=""),"",ROUND((D141-C141)*24,1))</f>
        <v/>
      </c>
      <c r="F141" s="32"/>
      <c r="G141" s="32"/>
      <c r="H141" s="35" t="str">
        <f aca="false">IF(OR(A141="",B141=""),"",COUNTIFS(Bugs!$B$6:$B$305,A141,Bugs!$C$6:$C$305,B141))</f>
        <v/>
      </c>
      <c r="I141" s="35" t="str">
        <f aca="false">IF(OR(A141="",B141=""),"",COUNTIFS('UX Notes'!$A$6:$A$205,A141,'UX Notes'!$B$6:$B$205,B141))</f>
        <v/>
      </c>
      <c r="J141" s="32"/>
      <c r="K141" s="32"/>
      <c r="L141" s="32"/>
    </row>
    <row r="142" customFormat="false" ht="15" hidden="false" customHeight="false" outlineLevel="0" collapsed="false">
      <c r="A142" s="31"/>
      <c r="B142" s="32"/>
      <c r="C142" s="48" t="str">
        <f aca="false">IF(OR(A142="",B142=""),"",IFERROR(1/(1/SUMIFS('Check-in'!$C$6:$C$205,'Check-in'!$A$6:$A$205,A142,'Check-in'!$B$6:$B$205,B142)),""))</f>
        <v/>
      </c>
      <c r="D142" s="33"/>
      <c r="E142" s="49" t="str">
        <f aca="false">IF(OR(C142="",D142=""),"",ROUND((D142-C142)*24,1))</f>
        <v/>
      </c>
      <c r="F142" s="32"/>
      <c r="G142" s="32"/>
      <c r="H142" s="35" t="str">
        <f aca="false">IF(OR(A142="",B142=""),"",COUNTIFS(Bugs!$B$6:$B$305,A142,Bugs!$C$6:$C$305,B142))</f>
        <v/>
      </c>
      <c r="I142" s="35" t="str">
        <f aca="false">IF(OR(A142="",B142=""),"",COUNTIFS('UX Notes'!$A$6:$A$205,A142,'UX Notes'!$B$6:$B$205,B142))</f>
        <v/>
      </c>
      <c r="J142" s="32"/>
      <c r="K142" s="32"/>
      <c r="L142" s="32"/>
    </row>
    <row r="143" customFormat="false" ht="15" hidden="false" customHeight="false" outlineLevel="0" collapsed="false">
      <c r="A143" s="31"/>
      <c r="B143" s="32"/>
      <c r="C143" s="48" t="str">
        <f aca="false">IF(OR(A143="",B143=""),"",IFERROR(1/(1/SUMIFS('Check-in'!$C$6:$C$205,'Check-in'!$A$6:$A$205,A143,'Check-in'!$B$6:$B$205,B143)),""))</f>
        <v/>
      </c>
      <c r="D143" s="33"/>
      <c r="E143" s="49" t="str">
        <f aca="false">IF(OR(C143="",D143=""),"",ROUND((D143-C143)*24,1))</f>
        <v/>
      </c>
      <c r="F143" s="32"/>
      <c r="G143" s="32"/>
      <c r="H143" s="35" t="str">
        <f aca="false">IF(OR(A143="",B143=""),"",COUNTIFS(Bugs!$B$6:$B$305,A143,Bugs!$C$6:$C$305,B143))</f>
        <v/>
      </c>
      <c r="I143" s="35" t="str">
        <f aca="false">IF(OR(A143="",B143=""),"",COUNTIFS('UX Notes'!$A$6:$A$205,A143,'UX Notes'!$B$6:$B$205,B143))</f>
        <v/>
      </c>
      <c r="J143" s="32"/>
      <c r="K143" s="32"/>
      <c r="L143" s="32"/>
    </row>
    <row r="144" customFormat="false" ht="15" hidden="false" customHeight="false" outlineLevel="0" collapsed="false">
      <c r="A144" s="31"/>
      <c r="B144" s="32"/>
      <c r="C144" s="48" t="str">
        <f aca="false">IF(OR(A144="",B144=""),"",IFERROR(1/(1/SUMIFS('Check-in'!$C$6:$C$205,'Check-in'!$A$6:$A$205,A144,'Check-in'!$B$6:$B$205,B144)),""))</f>
        <v/>
      </c>
      <c r="D144" s="33"/>
      <c r="E144" s="49" t="str">
        <f aca="false">IF(OR(C144="",D144=""),"",ROUND((D144-C144)*24,1))</f>
        <v/>
      </c>
      <c r="F144" s="32"/>
      <c r="G144" s="32"/>
      <c r="H144" s="35" t="str">
        <f aca="false">IF(OR(A144="",B144=""),"",COUNTIFS(Bugs!$B$6:$B$305,A144,Bugs!$C$6:$C$305,B144))</f>
        <v/>
      </c>
      <c r="I144" s="35" t="str">
        <f aca="false">IF(OR(A144="",B144=""),"",COUNTIFS('UX Notes'!$A$6:$A$205,A144,'UX Notes'!$B$6:$B$205,B144))</f>
        <v/>
      </c>
      <c r="J144" s="32"/>
      <c r="K144" s="32"/>
      <c r="L144" s="32"/>
    </row>
    <row r="145" customFormat="false" ht="15" hidden="false" customHeight="false" outlineLevel="0" collapsed="false">
      <c r="A145" s="31"/>
      <c r="B145" s="32"/>
      <c r="C145" s="48" t="str">
        <f aca="false">IF(OR(A145="",B145=""),"",IFERROR(1/(1/SUMIFS('Check-in'!$C$6:$C$205,'Check-in'!$A$6:$A$205,A145,'Check-in'!$B$6:$B$205,B145)),""))</f>
        <v/>
      </c>
      <c r="D145" s="33"/>
      <c r="E145" s="49" t="str">
        <f aca="false">IF(OR(C145="",D145=""),"",ROUND((D145-C145)*24,1))</f>
        <v/>
      </c>
      <c r="F145" s="32"/>
      <c r="G145" s="32"/>
      <c r="H145" s="35" t="str">
        <f aca="false">IF(OR(A145="",B145=""),"",COUNTIFS(Bugs!$B$6:$B$305,A145,Bugs!$C$6:$C$305,B145))</f>
        <v/>
      </c>
      <c r="I145" s="35" t="str">
        <f aca="false">IF(OR(A145="",B145=""),"",COUNTIFS('UX Notes'!$A$6:$A$205,A145,'UX Notes'!$B$6:$B$205,B145))</f>
        <v/>
      </c>
      <c r="J145" s="32"/>
      <c r="K145" s="32"/>
      <c r="L145" s="32"/>
    </row>
    <row r="146" customFormat="false" ht="15" hidden="false" customHeight="false" outlineLevel="0" collapsed="false">
      <c r="A146" s="31"/>
      <c r="B146" s="32"/>
      <c r="C146" s="48" t="str">
        <f aca="false">IF(OR(A146="",B146=""),"",IFERROR(1/(1/SUMIFS('Check-in'!$C$6:$C$205,'Check-in'!$A$6:$A$205,A146,'Check-in'!$B$6:$B$205,B146)),""))</f>
        <v/>
      </c>
      <c r="D146" s="33"/>
      <c r="E146" s="49" t="str">
        <f aca="false">IF(OR(C146="",D146=""),"",ROUND((D146-C146)*24,1))</f>
        <v/>
      </c>
      <c r="F146" s="32"/>
      <c r="G146" s="32"/>
      <c r="H146" s="35" t="str">
        <f aca="false">IF(OR(A146="",B146=""),"",COUNTIFS(Bugs!$B$6:$B$305,A146,Bugs!$C$6:$C$305,B146))</f>
        <v/>
      </c>
      <c r="I146" s="35" t="str">
        <f aca="false">IF(OR(A146="",B146=""),"",COUNTIFS('UX Notes'!$A$6:$A$205,A146,'UX Notes'!$B$6:$B$205,B146))</f>
        <v/>
      </c>
      <c r="J146" s="32"/>
      <c r="K146" s="32"/>
      <c r="L146" s="32"/>
    </row>
    <row r="147" customFormat="false" ht="15" hidden="false" customHeight="false" outlineLevel="0" collapsed="false">
      <c r="A147" s="31"/>
      <c r="B147" s="32"/>
      <c r="C147" s="48" t="str">
        <f aca="false">IF(OR(A147="",B147=""),"",IFERROR(1/(1/SUMIFS('Check-in'!$C$6:$C$205,'Check-in'!$A$6:$A$205,A147,'Check-in'!$B$6:$B$205,B147)),""))</f>
        <v/>
      </c>
      <c r="D147" s="33"/>
      <c r="E147" s="49" t="str">
        <f aca="false">IF(OR(C147="",D147=""),"",ROUND((D147-C147)*24,1))</f>
        <v/>
      </c>
      <c r="F147" s="32"/>
      <c r="G147" s="32"/>
      <c r="H147" s="35" t="str">
        <f aca="false">IF(OR(A147="",B147=""),"",COUNTIFS(Bugs!$B$6:$B$305,A147,Bugs!$C$6:$C$305,B147))</f>
        <v/>
      </c>
      <c r="I147" s="35" t="str">
        <f aca="false">IF(OR(A147="",B147=""),"",COUNTIFS('UX Notes'!$A$6:$A$205,A147,'UX Notes'!$B$6:$B$205,B147))</f>
        <v/>
      </c>
      <c r="J147" s="32"/>
      <c r="K147" s="32"/>
      <c r="L147" s="32"/>
    </row>
    <row r="148" customFormat="false" ht="15" hidden="false" customHeight="false" outlineLevel="0" collapsed="false">
      <c r="A148" s="31"/>
      <c r="B148" s="32"/>
      <c r="C148" s="48" t="str">
        <f aca="false">IF(OR(A148="",B148=""),"",IFERROR(1/(1/SUMIFS('Check-in'!$C$6:$C$205,'Check-in'!$A$6:$A$205,A148,'Check-in'!$B$6:$B$205,B148)),""))</f>
        <v/>
      </c>
      <c r="D148" s="33"/>
      <c r="E148" s="49" t="str">
        <f aca="false">IF(OR(C148="",D148=""),"",ROUND((D148-C148)*24,1))</f>
        <v/>
      </c>
      <c r="F148" s="32"/>
      <c r="G148" s="32"/>
      <c r="H148" s="35" t="str">
        <f aca="false">IF(OR(A148="",B148=""),"",COUNTIFS(Bugs!$B$6:$B$305,A148,Bugs!$C$6:$C$305,B148))</f>
        <v/>
      </c>
      <c r="I148" s="35" t="str">
        <f aca="false">IF(OR(A148="",B148=""),"",COUNTIFS('UX Notes'!$A$6:$A$205,A148,'UX Notes'!$B$6:$B$205,B148))</f>
        <v/>
      </c>
      <c r="J148" s="32"/>
      <c r="K148" s="32"/>
      <c r="L148" s="32"/>
    </row>
    <row r="149" customFormat="false" ht="15" hidden="false" customHeight="false" outlineLevel="0" collapsed="false">
      <c r="A149" s="31"/>
      <c r="B149" s="32"/>
      <c r="C149" s="48" t="str">
        <f aca="false">IF(OR(A149="",B149=""),"",IFERROR(1/(1/SUMIFS('Check-in'!$C$6:$C$205,'Check-in'!$A$6:$A$205,A149,'Check-in'!$B$6:$B$205,B149)),""))</f>
        <v/>
      </c>
      <c r="D149" s="33"/>
      <c r="E149" s="49" t="str">
        <f aca="false">IF(OR(C149="",D149=""),"",ROUND((D149-C149)*24,1))</f>
        <v/>
      </c>
      <c r="F149" s="32"/>
      <c r="G149" s="32"/>
      <c r="H149" s="35" t="str">
        <f aca="false">IF(OR(A149="",B149=""),"",COUNTIFS(Bugs!$B$6:$B$305,A149,Bugs!$C$6:$C$305,B149))</f>
        <v/>
      </c>
      <c r="I149" s="35" t="str">
        <f aca="false">IF(OR(A149="",B149=""),"",COUNTIFS('UX Notes'!$A$6:$A$205,A149,'UX Notes'!$B$6:$B$205,B149))</f>
        <v/>
      </c>
      <c r="J149" s="32"/>
      <c r="K149" s="32"/>
      <c r="L149" s="32"/>
    </row>
    <row r="150" customFormat="false" ht="15" hidden="false" customHeight="false" outlineLevel="0" collapsed="false">
      <c r="A150" s="31"/>
      <c r="B150" s="32"/>
      <c r="C150" s="48" t="str">
        <f aca="false">IF(OR(A150="",B150=""),"",IFERROR(1/(1/SUMIFS('Check-in'!$C$6:$C$205,'Check-in'!$A$6:$A$205,A150,'Check-in'!$B$6:$B$205,B150)),""))</f>
        <v/>
      </c>
      <c r="D150" s="33"/>
      <c r="E150" s="49" t="str">
        <f aca="false">IF(OR(C150="",D150=""),"",ROUND((D150-C150)*24,1))</f>
        <v/>
      </c>
      <c r="F150" s="32"/>
      <c r="G150" s="32"/>
      <c r="H150" s="35" t="str">
        <f aca="false">IF(OR(A150="",B150=""),"",COUNTIFS(Bugs!$B$6:$B$305,A150,Bugs!$C$6:$C$305,B150))</f>
        <v/>
      </c>
      <c r="I150" s="35" t="str">
        <f aca="false">IF(OR(A150="",B150=""),"",COUNTIFS('UX Notes'!$A$6:$A$205,A150,'UX Notes'!$B$6:$B$205,B150))</f>
        <v/>
      </c>
      <c r="J150" s="32"/>
      <c r="K150" s="32"/>
      <c r="L150" s="32"/>
    </row>
    <row r="151" customFormat="false" ht="15" hidden="false" customHeight="false" outlineLevel="0" collapsed="false">
      <c r="A151" s="31"/>
      <c r="B151" s="32"/>
      <c r="C151" s="48" t="str">
        <f aca="false">IF(OR(A151="",B151=""),"",IFERROR(1/(1/SUMIFS('Check-in'!$C$6:$C$205,'Check-in'!$A$6:$A$205,A151,'Check-in'!$B$6:$B$205,B151)),""))</f>
        <v/>
      </c>
      <c r="D151" s="33"/>
      <c r="E151" s="49" t="str">
        <f aca="false">IF(OR(C151="",D151=""),"",ROUND((D151-C151)*24,1))</f>
        <v/>
      </c>
      <c r="F151" s="32"/>
      <c r="G151" s="32"/>
      <c r="H151" s="35" t="str">
        <f aca="false">IF(OR(A151="",B151=""),"",COUNTIFS(Bugs!$B$6:$B$305,A151,Bugs!$C$6:$C$305,B151))</f>
        <v/>
      </c>
      <c r="I151" s="35" t="str">
        <f aca="false">IF(OR(A151="",B151=""),"",COUNTIFS('UX Notes'!$A$6:$A$205,A151,'UX Notes'!$B$6:$B$205,B151))</f>
        <v/>
      </c>
      <c r="J151" s="32"/>
      <c r="K151" s="32"/>
      <c r="L151" s="32"/>
    </row>
    <row r="152" customFormat="false" ht="15" hidden="false" customHeight="false" outlineLevel="0" collapsed="false">
      <c r="A152" s="31"/>
      <c r="B152" s="32"/>
      <c r="C152" s="48" t="str">
        <f aca="false">IF(OR(A152="",B152=""),"",IFERROR(1/(1/SUMIFS('Check-in'!$C$6:$C$205,'Check-in'!$A$6:$A$205,A152,'Check-in'!$B$6:$B$205,B152)),""))</f>
        <v/>
      </c>
      <c r="D152" s="33"/>
      <c r="E152" s="49" t="str">
        <f aca="false">IF(OR(C152="",D152=""),"",ROUND((D152-C152)*24,1))</f>
        <v/>
      </c>
      <c r="F152" s="32"/>
      <c r="G152" s="32"/>
      <c r="H152" s="35" t="str">
        <f aca="false">IF(OR(A152="",B152=""),"",COUNTIFS(Bugs!$B$6:$B$305,A152,Bugs!$C$6:$C$305,B152))</f>
        <v/>
      </c>
      <c r="I152" s="35" t="str">
        <f aca="false">IF(OR(A152="",B152=""),"",COUNTIFS('UX Notes'!$A$6:$A$205,A152,'UX Notes'!$B$6:$B$205,B152))</f>
        <v/>
      </c>
      <c r="J152" s="32"/>
      <c r="K152" s="32"/>
      <c r="L152" s="32"/>
    </row>
    <row r="153" customFormat="false" ht="15" hidden="false" customHeight="false" outlineLevel="0" collapsed="false">
      <c r="A153" s="31"/>
      <c r="B153" s="32"/>
      <c r="C153" s="48" t="str">
        <f aca="false">IF(OR(A153="",B153=""),"",IFERROR(1/(1/SUMIFS('Check-in'!$C$6:$C$205,'Check-in'!$A$6:$A$205,A153,'Check-in'!$B$6:$B$205,B153)),""))</f>
        <v/>
      </c>
      <c r="D153" s="33"/>
      <c r="E153" s="49" t="str">
        <f aca="false">IF(OR(C153="",D153=""),"",ROUND((D153-C153)*24,1))</f>
        <v/>
      </c>
      <c r="F153" s="32"/>
      <c r="G153" s="32"/>
      <c r="H153" s="35" t="str">
        <f aca="false">IF(OR(A153="",B153=""),"",COUNTIFS(Bugs!$B$6:$B$305,A153,Bugs!$C$6:$C$305,B153))</f>
        <v/>
      </c>
      <c r="I153" s="35" t="str">
        <f aca="false">IF(OR(A153="",B153=""),"",COUNTIFS('UX Notes'!$A$6:$A$205,A153,'UX Notes'!$B$6:$B$205,B153))</f>
        <v/>
      </c>
      <c r="J153" s="32"/>
      <c r="K153" s="32"/>
      <c r="L153" s="32"/>
    </row>
    <row r="154" customFormat="false" ht="15" hidden="false" customHeight="false" outlineLevel="0" collapsed="false">
      <c r="A154" s="31"/>
      <c r="B154" s="32"/>
      <c r="C154" s="48" t="str">
        <f aca="false">IF(OR(A154="",B154=""),"",IFERROR(1/(1/SUMIFS('Check-in'!$C$6:$C$205,'Check-in'!$A$6:$A$205,A154,'Check-in'!$B$6:$B$205,B154)),""))</f>
        <v/>
      </c>
      <c r="D154" s="33"/>
      <c r="E154" s="49" t="str">
        <f aca="false">IF(OR(C154="",D154=""),"",ROUND((D154-C154)*24,1))</f>
        <v/>
      </c>
      <c r="F154" s="32"/>
      <c r="G154" s="32"/>
      <c r="H154" s="35" t="str">
        <f aca="false">IF(OR(A154="",B154=""),"",COUNTIFS(Bugs!$B$6:$B$305,A154,Bugs!$C$6:$C$305,B154))</f>
        <v/>
      </c>
      <c r="I154" s="35" t="str">
        <f aca="false">IF(OR(A154="",B154=""),"",COUNTIFS('UX Notes'!$A$6:$A$205,A154,'UX Notes'!$B$6:$B$205,B154))</f>
        <v/>
      </c>
      <c r="J154" s="32"/>
      <c r="K154" s="32"/>
      <c r="L154" s="32"/>
    </row>
    <row r="155" customFormat="false" ht="15" hidden="false" customHeight="false" outlineLevel="0" collapsed="false">
      <c r="A155" s="31"/>
      <c r="B155" s="32"/>
      <c r="C155" s="48" t="str">
        <f aca="false">IF(OR(A155="",B155=""),"",IFERROR(1/(1/SUMIFS('Check-in'!$C$6:$C$205,'Check-in'!$A$6:$A$205,A155,'Check-in'!$B$6:$B$205,B155)),""))</f>
        <v/>
      </c>
      <c r="D155" s="33"/>
      <c r="E155" s="49" t="str">
        <f aca="false">IF(OR(C155="",D155=""),"",ROUND((D155-C155)*24,1))</f>
        <v/>
      </c>
      <c r="F155" s="32"/>
      <c r="G155" s="32"/>
      <c r="H155" s="35" t="str">
        <f aca="false">IF(OR(A155="",B155=""),"",COUNTIFS(Bugs!$B$6:$B$305,A155,Bugs!$C$6:$C$305,B155))</f>
        <v/>
      </c>
      <c r="I155" s="35" t="str">
        <f aca="false">IF(OR(A155="",B155=""),"",COUNTIFS('UX Notes'!$A$6:$A$205,A155,'UX Notes'!$B$6:$B$205,B155))</f>
        <v/>
      </c>
      <c r="J155" s="32"/>
      <c r="K155" s="32"/>
      <c r="L155" s="32"/>
    </row>
    <row r="156" customFormat="false" ht="15" hidden="false" customHeight="false" outlineLevel="0" collapsed="false">
      <c r="A156" s="31"/>
      <c r="B156" s="32"/>
      <c r="C156" s="48" t="str">
        <f aca="false">IF(OR(A156="",B156=""),"",IFERROR(1/(1/SUMIFS('Check-in'!$C$6:$C$205,'Check-in'!$A$6:$A$205,A156,'Check-in'!$B$6:$B$205,B156)),""))</f>
        <v/>
      </c>
      <c r="D156" s="33"/>
      <c r="E156" s="49" t="str">
        <f aca="false">IF(OR(C156="",D156=""),"",ROUND((D156-C156)*24,1))</f>
        <v/>
      </c>
      <c r="F156" s="32"/>
      <c r="G156" s="32"/>
      <c r="H156" s="35" t="str">
        <f aca="false">IF(OR(A156="",B156=""),"",COUNTIFS(Bugs!$B$6:$B$305,A156,Bugs!$C$6:$C$305,B156))</f>
        <v/>
      </c>
      <c r="I156" s="35" t="str">
        <f aca="false">IF(OR(A156="",B156=""),"",COUNTIFS('UX Notes'!$A$6:$A$205,A156,'UX Notes'!$B$6:$B$205,B156))</f>
        <v/>
      </c>
      <c r="J156" s="32"/>
      <c r="K156" s="32"/>
      <c r="L156" s="32"/>
    </row>
    <row r="157" customFormat="false" ht="15" hidden="false" customHeight="false" outlineLevel="0" collapsed="false">
      <c r="A157" s="31"/>
      <c r="B157" s="32"/>
      <c r="C157" s="48" t="str">
        <f aca="false">IF(OR(A157="",B157=""),"",IFERROR(1/(1/SUMIFS('Check-in'!$C$6:$C$205,'Check-in'!$A$6:$A$205,A157,'Check-in'!$B$6:$B$205,B157)),""))</f>
        <v/>
      </c>
      <c r="D157" s="33"/>
      <c r="E157" s="49" t="str">
        <f aca="false">IF(OR(C157="",D157=""),"",ROUND((D157-C157)*24,1))</f>
        <v/>
      </c>
      <c r="F157" s="32"/>
      <c r="G157" s="32"/>
      <c r="H157" s="35" t="str">
        <f aca="false">IF(OR(A157="",B157=""),"",COUNTIFS(Bugs!$B$6:$B$305,A157,Bugs!$C$6:$C$305,B157))</f>
        <v/>
      </c>
      <c r="I157" s="35" t="str">
        <f aca="false">IF(OR(A157="",B157=""),"",COUNTIFS('UX Notes'!$A$6:$A$205,A157,'UX Notes'!$B$6:$B$205,B157))</f>
        <v/>
      </c>
      <c r="J157" s="32"/>
      <c r="K157" s="32"/>
      <c r="L157" s="32"/>
    </row>
    <row r="158" customFormat="false" ht="15" hidden="false" customHeight="false" outlineLevel="0" collapsed="false">
      <c r="A158" s="31"/>
      <c r="B158" s="32"/>
      <c r="C158" s="48" t="str">
        <f aca="false">IF(OR(A158="",B158=""),"",IFERROR(1/(1/SUMIFS('Check-in'!$C$6:$C$205,'Check-in'!$A$6:$A$205,A158,'Check-in'!$B$6:$B$205,B158)),""))</f>
        <v/>
      </c>
      <c r="D158" s="33"/>
      <c r="E158" s="49" t="str">
        <f aca="false">IF(OR(C158="",D158=""),"",ROUND((D158-C158)*24,1))</f>
        <v/>
      </c>
      <c r="F158" s="32"/>
      <c r="G158" s="32"/>
      <c r="H158" s="35" t="str">
        <f aca="false">IF(OR(A158="",B158=""),"",COUNTIFS(Bugs!$B$6:$B$305,A158,Bugs!$C$6:$C$305,B158))</f>
        <v/>
      </c>
      <c r="I158" s="35" t="str">
        <f aca="false">IF(OR(A158="",B158=""),"",COUNTIFS('UX Notes'!$A$6:$A$205,A158,'UX Notes'!$B$6:$B$205,B158))</f>
        <v/>
      </c>
      <c r="J158" s="32"/>
      <c r="K158" s="32"/>
      <c r="L158" s="32"/>
    </row>
    <row r="159" customFormat="false" ht="15" hidden="false" customHeight="false" outlineLevel="0" collapsed="false">
      <c r="A159" s="31"/>
      <c r="B159" s="32"/>
      <c r="C159" s="48" t="str">
        <f aca="false">IF(OR(A159="",B159=""),"",IFERROR(1/(1/SUMIFS('Check-in'!$C$6:$C$205,'Check-in'!$A$6:$A$205,A159,'Check-in'!$B$6:$B$205,B159)),""))</f>
        <v/>
      </c>
      <c r="D159" s="33"/>
      <c r="E159" s="49" t="str">
        <f aca="false">IF(OR(C159="",D159=""),"",ROUND((D159-C159)*24,1))</f>
        <v/>
      </c>
      <c r="F159" s="32"/>
      <c r="G159" s="32"/>
      <c r="H159" s="35" t="str">
        <f aca="false">IF(OR(A159="",B159=""),"",COUNTIFS(Bugs!$B$6:$B$305,A159,Bugs!$C$6:$C$305,B159))</f>
        <v/>
      </c>
      <c r="I159" s="35" t="str">
        <f aca="false">IF(OR(A159="",B159=""),"",COUNTIFS('UX Notes'!$A$6:$A$205,A159,'UX Notes'!$B$6:$B$205,B159))</f>
        <v/>
      </c>
      <c r="J159" s="32"/>
      <c r="K159" s="32"/>
      <c r="L159" s="32"/>
    </row>
    <row r="160" customFormat="false" ht="15" hidden="false" customHeight="false" outlineLevel="0" collapsed="false">
      <c r="A160" s="31"/>
      <c r="B160" s="32"/>
      <c r="C160" s="48" t="str">
        <f aca="false">IF(OR(A160="",B160=""),"",IFERROR(1/(1/SUMIFS('Check-in'!$C$6:$C$205,'Check-in'!$A$6:$A$205,A160,'Check-in'!$B$6:$B$205,B160)),""))</f>
        <v/>
      </c>
      <c r="D160" s="33"/>
      <c r="E160" s="49" t="str">
        <f aca="false">IF(OR(C160="",D160=""),"",ROUND((D160-C160)*24,1))</f>
        <v/>
      </c>
      <c r="F160" s="32"/>
      <c r="G160" s="32"/>
      <c r="H160" s="35" t="str">
        <f aca="false">IF(OR(A160="",B160=""),"",COUNTIFS(Bugs!$B$6:$B$305,A160,Bugs!$C$6:$C$305,B160))</f>
        <v/>
      </c>
      <c r="I160" s="35" t="str">
        <f aca="false">IF(OR(A160="",B160=""),"",COUNTIFS('UX Notes'!$A$6:$A$205,A160,'UX Notes'!$B$6:$B$205,B160))</f>
        <v/>
      </c>
      <c r="J160" s="32"/>
      <c r="K160" s="32"/>
      <c r="L160" s="32"/>
    </row>
    <row r="161" customFormat="false" ht="15" hidden="false" customHeight="false" outlineLevel="0" collapsed="false">
      <c r="A161" s="31"/>
      <c r="B161" s="32"/>
      <c r="C161" s="48" t="str">
        <f aca="false">IF(OR(A161="",B161=""),"",IFERROR(1/(1/SUMIFS('Check-in'!$C$6:$C$205,'Check-in'!$A$6:$A$205,A161,'Check-in'!$B$6:$B$205,B161)),""))</f>
        <v/>
      </c>
      <c r="D161" s="33"/>
      <c r="E161" s="49" t="str">
        <f aca="false">IF(OR(C161="",D161=""),"",ROUND((D161-C161)*24,1))</f>
        <v/>
      </c>
      <c r="F161" s="32"/>
      <c r="G161" s="32"/>
      <c r="H161" s="35" t="str">
        <f aca="false">IF(OR(A161="",B161=""),"",COUNTIFS(Bugs!$B$6:$B$305,A161,Bugs!$C$6:$C$305,B161))</f>
        <v/>
      </c>
      <c r="I161" s="35" t="str">
        <f aca="false">IF(OR(A161="",B161=""),"",COUNTIFS('UX Notes'!$A$6:$A$205,A161,'UX Notes'!$B$6:$B$205,B161))</f>
        <v/>
      </c>
      <c r="J161" s="32"/>
      <c r="K161" s="32"/>
      <c r="L161" s="32"/>
    </row>
    <row r="162" customFormat="false" ht="15" hidden="false" customHeight="false" outlineLevel="0" collapsed="false">
      <c r="A162" s="31"/>
      <c r="B162" s="32"/>
      <c r="C162" s="48" t="str">
        <f aca="false">IF(OR(A162="",B162=""),"",IFERROR(1/(1/SUMIFS('Check-in'!$C$6:$C$205,'Check-in'!$A$6:$A$205,A162,'Check-in'!$B$6:$B$205,B162)),""))</f>
        <v/>
      </c>
      <c r="D162" s="33"/>
      <c r="E162" s="49" t="str">
        <f aca="false">IF(OR(C162="",D162=""),"",ROUND((D162-C162)*24,1))</f>
        <v/>
      </c>
      <c r="F162" s="32"/>
      <c r="G162" s="32"/>
      <c r="H162" s="35" t="str">
        <f aca="false">IF(OR(A162="",B162=""),"",COUNTIFS(Bugs!$B$6:$B$305,A162,Bugs!$C$6:$C$305,B162))</f>
        <v/>
      </c>
      <c r="I162" s="35" t="str">
        <f aca="false">IF(OR(A162="",B162=""),"",COUNTIFS('UX Notes'!$A$6:$A$205,A162,'UX Notes'!$B$6:$B$205,B162))</f>
        <v/>
      </c>
      <c r="J162" s="32"/>
      <c r="K162" s="32"/>
      <c r="L162" s="32"/>
    </row>
    <row r="163" customFormat="false" ht="15" hidden="false" customHeight="false" outlineLevel="0" collapsed="false">
      <c r="A163" s="31"/>
      <c r="B163" s="32"/>
      <c r="C163" s="48" t="str">
        <f aca="false">IF(OR(A163="",B163=""),"",IFERROR(1/(1/SUMIFS('Check-in'!$C$6:$C$205,'Check-in'!$A$6:$A$205,A163,'Check-in'!$B$6:$B$205,B163)),""))</f>
        <v/>
      </c>
      <c r="D163" s="33"/>
      <c r="E163" s="49" t="str">
        <f aca="false">IF(OR(C163="",D163=""),"",ROUND((D163-C163)*24,1))</f>
        <v/>
      </c>
      <c r="F163" s="32"/>
      <c r="G163" s="32"/>
      <c r="H163" s="35" t="str">
        <f aca="false">IF(OR(A163="",B163=""),"",COUNTIFS(Bugs!$B$6:$B$305,A163,Bugs!$C$6:$C$305,B163))</f>
        <v/>
      </c>
      <c r="I163" s="35" t="str">
        <f aca="false">IF(OR(A163="",B163=""),"",COUNTIFS('UX Notes'!$A$6:$A$205,A163,'UX Notes'!$B$6:$B$205,B163))</f>
        <v/>
      </c>
      <c r="J163" s="32"/>
      <c r="K163" s="32"/>
      <c r="L163" s="32"/>
    </row>
    <row r="164" customFormat="false" ht="15" hidden="false" customHeight="false" outlineLevel="0" collapsed="false">
      <c r="A164" s="31"/>
      <c r="B164" s="32"/>
      <c r="C164" s="48" t="str">
        <f aca="false">IF(OR(A164="",B164=""),"",IFERROR(1/(1/SUMIFS('Check-in'!$C$6:$C$205,'Check-in'!$A$6:$A$205,A164,'Check-in'!$B$6:$B$205,B164)),""))</f>
        <v/>
      </c>
      <c r="D164" s="33"/>
      <c r="E164" s="49" t="str">
        <f aca="false">IF(OR(C164="",D164=""),"",ROUND((D164-C164)*24,1))</f>
        <v/>
      </c>
      <c r="F164" s="32"/>
      <c r="G164" s="32"/>
      <c r="H164" s="35" t="str">
        <f aca="false">IF(OR(A164="",B164=""),"",COUNTIFS(Bugs!$B$6:$B$305,A164,Bugs!$C$6:$C$305,B164))</f>
        <v/>
      </c>
      <c r="I164" s="35" t="str">
        <f aca="false">IF(OR(A164="",B164=""),"",COUNTIFS('UX Notes'!$A$6:$A$205,A164,'UX Notes'!$B$6:$B$205,B164))</f>
        <v/>
      </c>
      <c r="J164" s="32"/>
      <c r="K164" s="32"/>
      <c r="L164" s="32"/>
    </row>
    <row r="165" customFormat="false" ht="15" hidden="false" customHeight="false" outlineLevel="0" collapsed="false">
      <c r="A165" s="31"/>
      <c r="B165" s="32"/>
      <c r="C165" s="48" t="str">
        <f aca="false">IF(OR(A165="",B165=""),"",IFERROR(1/(1/SUMIFS('Check-in'!$C$6:$C$205,'Check-in'!$A$6:$A$205,A165,'Check-in'!$B$6:$B$205,B165)),""))</f>
        <v/>
      </c>
      <c r="D165" s="33"/>
      <c r="E165" s="49" t="str">
        <f aca="false">IF(OR(C165="",D165=""),"",ROUND((D165-C165)*24,1))</f>
        <v/>
      </c>
      <c r="F165" s="32"/>
      <c r="G165" s="32"/>
      <c r="H165" s="35" t="str">
        <f aca="false">IF(OR(A165="",B165=""),"",COUNTIFS(Bugs!$B$6:$B$305,A165,Bugs!$C$6:$C$305,B165))</f>
        <v/>
      </c>
      <c r="I165" s="35" t="str">
        <f aca="false">IF(OR(A165="",B165=""),"",COUNTIFS('UX Notes'!$A$6:$A$205,A165,'UX Notes'!$B$6:$B$205,B165))</f>
        <v/>
      </c>
      <c r="J165" s="32"/>
      <c r="K165" s="32"/>
      <c r="L165" s="32"/>
    </row>
    <row r="166" customFormat="false" ht="15" hidden="false" customHeight="false" outlineLevel="0" collapsed="false">
      <c r="A166" s="31"/>
      <c r="B166" s="32"/>
      <c r="C166" s="48" t="str">
        <f aca="false">IF(OR(A166="",B166=""),"",IFERROR(1/(1/SUMIFS('Check-in'!$C$6:$C$205,'Check-in'!$A$6:$A$205,A166,'Check-in'!$B$6:$B$205,B166)),""))</f>
        <v/>
      </c>
      <c r="D166" s="33"/>
      <c r="E166" s="49" t="str">
        <f aca="false">IF(OR(C166="",D166=""),"",ROUND((D166-C166)*24,1))</f>
        <v/>
      </c>
      <c r="F166" s="32"/>
      <c r="G166" s="32"/>
      <c r="H166" s="35" t="str">
        <f aca="false">IF(OR(A166="",B166=""),"",COUNTIFS(Bugs!$B$6:$B$305,A166,Bugs!$C$6:$C$305,B166))</f>
        <v/>
      </c>
      <c r="I166" s="35" t="str">
        <f aca="false">IF(OR(A166="",B166=""),"",COUNTIFS('UX Notes'!$A$6:$A$205,A166,'UX Notes'!$B$6:$B$205,B166))</f>
        <v/>
      </c>
      <c r="J166" s="32"/>
      <c r="K166" s="32"/>
      <c r="L166" s="32"/>
    </row>
    <row r="167" customFormat="false" ht="15" hidden="false" customHeight="false" outlineLevel="0" collapsed="false">
      <c r="A167" s="31"/>
      <c r="B167" s="32"/>
      <c r="C167" s="48" t="str">
        <f aca="false">IF(OR(A167="",B167=""),"",IFERROR(1/(1/SUMIFS('Check-in'!$C$6:$C$205,'Check-in'!$A$6:$A$205,A167,'Check-in'!$B$6:$B$205,B167)),""))</f>
        <v/>
      </c>
      <c r="D167" s="33"/>
      <c r="E167" s="49" t="str">
        <f aca="false">IF(OR(C167="",D167=""),"",ROUND((D167-C167)*24,1))</f>
        <v/>
      </c>
      <c r="F167" s="32"/>
      <c r="G167" s="32"/>
      <c r="H167" s="35" t="str">
        <f aca="false">IF(OR(A167="",B167=""),"",COUNTIFS(Bugs!$B$6:$B$305,A167,Bugs!$C$6:$C$305,B167))</f>
        <v/>
      </c>
      <c r="I167" s="35" t="str">
        <f aca="false">IF(OR(A167="",B167=""),"",COUNTIFS('UX Notes'!$A$6:$A$205,A167,'UX Notes'!$B$6:$B$205,B167))</f>
        <v/>
      </c>
      <c r="J167" s="32"/>
      <c r="K167" s="32"/>
      <c r="L167" s="32"/>
    </row>
    <row r="168" customFormat="false" ht="15" hidden="false" customHeight="false" outlineLevel="0" collapsed="false">
      <c r="A168" s="31"/>
      <c r="B168" s="32"/>
      <c r="C168" s="48" t="str">
        <f aca="false">IF(OR(A168="",B168=""),"",IFERROR(1/(1/SUMIFS('Check-in'!$C$6:$C$205,'Check-in'!$A$6:$A$205,A168,'Check-in'!$B$6:$B$205,B168)),""))</f>
        <v/>
      </c>
      <c r="D168" s="33"/>
      <c r="E168" s="49" t="str">
        <f aca="false">IF(OR(C168="",D168=""),"",ROUND((D168-C168)*24,1))</f>
        <v/>
      </c>
      <c r="F168" s="32"/>
      <c r="G168" s="32"/>
      <c r="H168" s="35" t="str">
        <f aca="false">IF(OR(A168="",B168=""),"",COUNTIFS(Bugs!$B$6:$B$305,A168,Bugs!$C$6:$C$305,B168))</f>
        <v/>
      </c>
      <c r="I168" s="35" t="str">
        <f aca="false">IF(OR(A168="",B168=""),"",COUNTIFS('UX Notes'!$A$6:$A$205,A168,'UX Notes'!$B$6:$B$205,B168))</f>
        <v/>
      </c>
      <c r="J168" s="32"/>
      <c r="K168" s="32"/>
      <c r="L168" s="32"/>
    </row>
    <row r="169" customFormat="false" ht="15" hidden="false" customHeight="false" outlineLevel="0" collapsed="false">
      <c r="A169" s="31"/>
      <c r="B169" s="32"/>
      <c r="C169" s="48" t="str">
        <f aca="false">IF(OR(A169="",B169=""),"",IFERROR(1/(1/SUMIFS('Check-in'!$C$6:$C$205,'Check-in'!$A$6:$A$205,A169,'Check-in'!$B$6:$B$205,B169)),""))</f>
        <v/>
      </c>
      <c r="D169" s="33"/>
      <c r="E169" s="49" t="str">
        <f aca="false">IF(OR(C169="",D169=""),"",ROUND((D169-C169)*24,1))</f>
        <v/>
      </c>
      <c r="F169" s="32"/>
      <c r="G169" s="32"/>
      <c r="H169" s="35" t="str">
        <f aca="false">IF(OR(A169="",B169=""),"",COUNTIFS(Bugs!$B$6:$B$305,A169,Bugs!$C$6:$C$305,B169))</f>
        <v/>
      </c>
      <c r="I169" s="35" t="str">
        <f aca="false">IF(OR(A169="",B169=""),"",COUNTIFS('UX Notes'!$A$6:$A$205,A169,'UX Notes'!$B$6:$B$205,B169))</f>
        <v/>
      </c>
      <c r="J169" s="32"/>
      <c r="K169" s="32"/>
      <c r="L169" s="32"/>
    </row>
    <row r="170" customFormat="false" ht="15" hidden="false" customHeight="false" outlineLevel="0" collapsed="false">
      <c r="A170" s="31"/>
      <c r="B170" s="32"/>
      <c r="C170" s="48" t="str">
        <f aca="false">IF(OR(A170="",B170=""),"",IFERROR(1/(1/SUMIFS('Check-in'!$C$6:$C$205,'Check-in'!$A$6:$A$205,A170,'Check-in'!$B$6:$B$205,B170)),""))</f>
        <v/>
      </c>
      <c r="D170" s="33"/>
      <c r="E170" s="49" t="str">
        <f aca="false">IF(OR(C170="",D170=""),"",ROUND((D170-C170)*24,1))</f>
        <v/>
      </c>
      <c r="F170" s="32"/>
      <c r="G170" s="32"/>
      <c r="H170" s="35" t="str">
        <f aca="false">IF(OR(A170="",B170=""),"",COUNTIFS(Bugs!$B$6:$B$305,A170,Bugs!$C$6:$C$305,B170))</f>
        <v/>
      </c>
      <c r="I170" s="35" t="str">
        <f aca="false">IF(OR(A170="",B170=""),"",COUNTIFS('UX Notes'!$A$6:$A$205,A170,'UX Notes'!$B$6:$B$205,B170))</f>
        <v/>
      </c>
      <c r="J170" s="32"/>
      <c r="K170" s="32"/>
      <c r="L170" s="32"/>
    </row>
    <row r="171" customFormat="false" ht="15" hidden="false" customHeight="false" outlineLevel="0" collapsed="false">
      <c r="A171" s="31"/>
      <c r="B171" s="32"/>
      <c r="C171" s="48" t="str">
        <f aca="false">IF(OR(A171="",B171=""),"",IFERROR(1/(1/SUMIFS('Check-in'!$C$6:$C$205,'Check-in'!$A$6:$A$205,A171,'Check-in'!$B$6:$B$205,B171)),""))</f>
        <v/>
      </c>
      <c r="D171" s="33"/>
      <c r="E171" s="49" t="str">
        <f aca="false">IF(OR(C171="",D171=""),"",ROUND((D171-C171)*24,1))</f>
        <v/>
      </c>
      <c r="F171" s="32"/>
      <c r="G171" s="32"/>
      <c r="H171" s="35" t="str">
        <f aca="false">IF(OR(A171="",B171=""),"",COUNTIFS(Bugs!$B$6:$B$305,A171,Bugs!$C$6:$C$305,B171))</f>
        <v/>
      </c>
      <c r="I171" s="35" t="str">
        <f aca="false">IF(OR(A171="",B171=""),"",COUNTIFS('UX Notes'!$A$6:$A$205,A171,'UX Notes'!$B$6:$B$205,B171))</f>
        <v/>
      </c>
      <c r="J171" s="32"/>
      <c r="K171" s="32"/>
      <c r="L171" s="32"/>
    </row>
    <row r="172" customFormat="false" ht="15" hidden="false" customHeight="false" outlineLevel="0" collapsed="false">
      <c r="A172" s="31"/>
      <c r="B172" s="32"/>
      <c r="C172" s="48" t="str">
        <f aca="false">IF(OR(A172="",B172=""),"",IFERROR(1/(1/SUMIFS('Check-in'!$C$6:$C$205,'Check-in'!$A$6:$A$205,A172,'Check-in'!$B$6:$B$205,B172)),""))</f>
        <v/>
      </c>
      <c r="D172" s="33"/>
      <c r="E172" s="49" t="str">
        <f aca="false">IF(OR(C172="",D172=""),"",ROUND((D172-C172)*24,1))</f>
        <v/>
      </c>
      <c r="F172" s="32"/>
      <c r="G172" s="32"/>
      <c r="H172" s="35" t="str">
        <f aca="false">IF(OR(A172="",B172=""),"",COUNTIFS(Bugs!$B$6:$B$305,A172,Bugs!$C$6:$C$305,B172))</f>
        <v/>
      </c>
      <c r="I172" s="35" t="str">
        <f aca="false">IF(OR(A172="",B172=""),"",COUNTIFS('UX Notes'!$A$6:$A$205,A172,'UX Notes'!$B$6:$B$205,B172))</f>
        <v/>
      </c>
      <c r="J172" s="32"/>
      <c r="K172" s="32"/>
      <c r="L172" s="32"/>
    </row>
    <row r="173" customFormat="false" ht="15" hidden="false" customHeight="false" outlineLevel="0" collapsed="false">
      <c r="A173" s="31"/>
      <c r="B173" s="32"/>
      <c r="C173" s="48" t="str">
        <f aca="false">IF(OR(A173="",B173=""),"",IFERROR(1/(1/SUMIFS('Check-in'!$C$6:$C$205,'Check-in'!$A$6:$A$205,A173,'Check-in'!$B$6:$B$205,B173)),""))</f>
        <v/>
      </c>
      <c r="D173" s="33"/>
      <c r="E173" s="49" t="str">
        <f aca="false">IF(OR(C173="",D173=""),"",ROUND((D173-C173)*24,1))</f>
        <v/>
      </c>
      <c r="F173" s="32"/>
      <c r="G173" s="32"/>
      <c r="H173" s="35" t="str">
        <f aca="false">IF(OR(A173="",B173=""),"",COUNTIFS(Bugs!$B$6:$B$305,A173,Bugs!$C$6:$C$305,B173))</f>
        <v/>
      </c>
      <c r="I173" s="35" t="str">
        <f aca="false">IF(OR(A173="",B173=""),"",COUNTIFS('UX Notes'!$A$6:$A$205,A173,'UX Notes'!$B$6:$B$205,B173))</f>
        <v/>
      </c>
      <c r="J173" s="32"/>
      <c r="K173" s="32"/>
      <c r="L173" s="32"/>
    </row>
    <row r="174" customFormat="false" ht="15" hidden="false" customHeight="false" outlineLevel="0" collapsed="false">
      <c r="A174" s="31"/>
      <c r="B174" s="32"/>
      <c r="C174" s="48" t="str">
        <f aca="false">IF(OR(A174="",B174=""),"",IFERROR(1/(1/SUMIFS('Check-in'!$C$6:$C$205,'Check-in'!$A$6:$A$205,A174,'Check-in'!$B$6:$B$205,B174)),""))</f>
        <v/>
      </c>
      <c r="D174" s="33"/>
      <c r="E174" s="49" t="str">
        <f aca="false">IF(OR(C174="",D174=""),"",ROUND((D174-C174)*24,1))</f>
        <v/>
      </c>
      <c r="F174" s="32"/>
      <c r="G174" s="32"/>
      <c r="H174" s="35" t="str">
        <f aca="false">IF(OR(A174="",B174=""),"",COUNTIFS(Bugs!$B$6:$B$305,A174,Bugs!$C$6:$C$305,B174))</f>
        <v/>
      </c>
      <c r="I174" s="35" t="str">
        <f aca="false">IF(OR(A174="",B174=""),"",COUNTIFS('UX Notes'!$A$6:$A$205,A174,'UX Notes'!$B$6:$B$205,B174))</f>
        <v/>
      </c>
      <c r="J174" s="32"/>
      <c r="K174" s="32"/>
      <c r="L174" s="32"/>
    </row>
    <row r="175" customFormat="false" ht="15" hidden="false" customHeight="false" outlineLevel="0" collapsed="false">
      <c r="A175" s="31"/>
      <c r="B175" s="32"/>
      <c r="C175" s="48" t="str">
        <f aca="false">IF(OR(A175="",B175=""),"",IFERROR(1/(1/SUMIFS('Check-in'!$C$6:$C$205,'Check-in'!$A$6:$A$205,A175,'Check-in'!$B$6:$B$205,B175)),""))</f>
        <v/>
      </c>
      <c r="D175" s="33"/>
      <c r="E175" s="49" t="str">
        <f aca="false">IF(OR(C175="",D175=""),"",ROUND((D175-C175)*24,1))</f>
        <v/>
      </c>
      <c r="F175" s="32"/>
      <c r="G175" s="32"/>
      <c r="H175" s="35" t="str">
        <f aca="false">IF(OR(A175="",B175=""),"",COUNTIFS(Bugs!$B$6:$B$305,A175,Bugs!$C$6:$C$305,B175))</f>
        <v/>
      </c>
      <c r="I175" s="35" t="str">
        <f aca="false">IF(OR(A175="",B175=""),"",COUNTIFS('UX Notes'!$A$6:$A$205,A175,'UX Notes'!$B$6:$B$205,B175))</f>
        <v/>
      </c>
      <c r="J175" s="32"/>
      <c r="K175" s="32"/>
      <c r="L175" s="32"/>
    </row>
    <row r="176" customFormat="false" ht="15" hidden="false" customHeight="false" outlineLevel="0" collapsed="false">
      <c r="A176" s="31"/>
      <c r="B176" s="32"/>
      <c r="C176" s="48" t="str">
        <f aca="false">IF(OR(A176="",B176=""),"",IFERROR(1/(1/SUMIFS('Check-in'!$C$6:$C$205,'Check-in'!$A$6:$A$205,A176,'Check-in'!$B$6:$B$205,B176)),""))</f>
        <v/>
      </c>
      <c r="D176" s="33"/>
      <c r="E176" s="49" t="str">
        <f aca="false">IF(OR(C176="",D176=""),"",ROUND((D176-C176)*24,1))</f>
        <v/>
      </c>
      <c r="F176" s="32"/>
      <c r="G176" s="32"/>
      <c r="H176" s="35" t="str">
        <f aca="false">IF(OR(A176="",B176=""),"",COUNTIFS(Bugs!$B$6:$B$305,A176,Bugs!$C$6:$C$305,B176))</f>
        <v/>
      </c>
      <c r="I176" s="35" t="str">
        <f aca="false">IF(OR(A176="",B176=""),"",COUNTIFS('UX Notes'!$A$6:$A$205,A176,'UX Notes'!$B$6:$B$205,B176))</f>
        <v/>
      </c>
      <c r="J176" s="32"/>
      <c r="K176" s="32"/>
      <c r="L176" s="32"/>
    </row>
    <row r="177" customFormat="false" ht="15" hidden="false" customHeight="false" outlineLevel="0" collapsed="false">
      <c r="A177" s="31"/>
      <c r="B177" s="32"/>
      <c r="C177" s="48" t="str">
        <f aca="false">IF(OR(A177="",B177=""),"",IFERROR(1/(1/SUMIFS('Check-in'!$C$6:$C$205,'Check-in'!$A$6:$A$205,A177,'Check-in'!$B$6:$B$205,B177)),""))</f>
        <v/>
      </c>
      <c r="D177" s="33"/>
      <c r="E177" s="49" t="str">
        <f aca="false">IF(OR(C177="",D177=""),"",ROUND((D177-C177)*24,1))</f>
        <v/>
      </c>
      <c r="F177" s="32"/>
      <c r="G177" s="32"/>
      <c r="H177" s="35" t="str">
        <f aca="false">IF(OR(A177="",B177=""),"",COUNTIFS(Bugs!$B$6:$B$305,A177,Bugs!$C$6:$C$305,B177))</f>
        <v/>
      </c>
      <c r="I177" s="35" t="str">
        <f aca="false">IF(OR(A177="",B177=""),"",COUNTIFS('UX Notes'!$A$6:$A$205,A177,'UX Notes'!$B$6:$B$205,B177))</f>
        <v/>
      </c>
      <c r="J177" s="32"/>
      <c r="K177" s="32"/>
      <c r="L177" s="32"/>
    </row>
    <row r="178" customFormat="false" ht="15" hidden="false" customHeight="false" outlineLevel="0" collapsed="false">
      <c r="A178" s="31"/>
      <c r="B178" s="32"/>
      <c r="C178" s="48" t="str">
        <f aca="false">IF(OR(A178="",B178=""),"",IFERROR(1/(1/SUMIFS('Check-in'!$C$6:$C$205,'Check-in'!$A$6:$A$205,A178,'Check-in'!$B$6:$B$205,B178)),""))</f>
        <v/>
      </c>
      <c r="D178" s="33"/>
      <c r="E178" s="49" t="str">
        <f aca="false">IF(OR(C178="",D178=""),"",ROUND((D178-C178)*24,1))</f>
        <v/>
      </c>
      <c r="F178" s="32"/>
      <c r="G178" s="32"/>
      <c r="H178" s="35" t="str">
        <f aca="false">IF(OR(A178="",B178=""),"",COUNTIFS(Bugs!$B$6:$B$305,A178,Bugs!$C$6:$C$305,B178))</f>
        <v/>
      </c>
      <c r="I178" s="35" t="str">
        <f aca="false">IF(OR(A178="",B178=""),"",COUNTIFS('UX Notes'!$A$6:$A$205,A178,'UX Notes'!$B$6:$B$205,B178))</f>
        <v/>
      </c>
      <c r="J178" s="32"/>
      <c r="K178" s="32"/>
      <c r="L178" s="32"/>
    </row>
    <row r="179" customFormat="false" ht="15" hidden="false" customHeight="false" outlineLevel="0" collapsed="false">
      <c r="A179" s="31"/>
      <c r="B179" s="32"/>
      <c r="C179" s="48" t="str">
        <f aca="false">IF(OR(A179="",B179=""),"",IFERROR(1/(1/SUMIFS('Check-in'!$C$6:$C$205,'Check-in'!$A$6:$A$205,A179,'Check-in'!$B$6:$B$205,B179)),""))</f>
        <v/>
      </c>
      <c r="D179" s="33"/>
      <c r="E179" s="49" t="str">
        <f aca="false">IF(OR(C179="",D179=""),"",ROUND((D179-C179)*24,1))</f>
        <v/>
      </c>
      <c r="F179" s="32"/>
      <c r="G179" s="32"/>
      <c r="H179" s="35" t="str">
        <f aca="false">IF(OR(A179="",B179=""),"",COUNTIFS(Bugs!$B$6:$B$305,A179,Bugs!$C$6:$C$305,B179))</f>
        <v/>
      </c>
      <c r="I179" s="35" t="str">
        <f aca="false">IF(OR(A179="",B179=""),"",COUNTIFS('UX Notes'!$A$6:$A$205,A179,'UX Notes'!$B$6:$B$205,B179))</f>
        <v/>
      </c>
      <c r="J179" s="32"/>
      <c r="K179" s="32"/>
      <c r="L179" s="32"/>
    </row>
    <row r="180" customFormat="false" ht="15" hidden="false" customHeight="false" outlineLevel="0" collapsed="false">
      <c r="A180" s="31"/>
      <c r="B180" s="32"/>
      <c r="C180" s="48" t="str">
        <f aca="false">IF(OR(A180="",B180=""),"",IFERROR(1/(1/SUMIFS('Check-in'!$C$6:$C$205,'Check-in'!$A$6:$A$205,A180,'Check-in'!$B$6:$B$205,B180)),""))</f>
        <v/>
      </c>
      <c r="D180" s="33"/>
      <c r="E180" s="49" t="str">
        <f aca="false">IF(OR(C180="",D180=""),"",ROUND((D180-C180)*24,1))</f>
        <v/>
      </c>
      <c r="F180" s="32"/>
      <c r="G180" s="32"/>
      <c r="H180" s="35" t="str">
        <f aca="false">IF(OR(A180="",B180=""),"",COUNTIFS(Bugs!$B$6:$B$305,A180,Bugs!$C$6:$C$305,B180))</f>
        <v/>
      </c>
      <c r="I180" s="35" t="str">
        <f aca="false">IF(OR(A180="",B180=""),"",COUNTIFS('UX Notes'!$A$6:$A$205,A180,'UX Notes'!$B$6:$B$205,B180))</f>
        <v/>
      </c>
      <c r="J180" s="32"/>
      <c r="K180" s="32"/>
      <c r="L180" s="32"/>
    </row>
    <row r="181" customFormat="false" ht="15" hidden="false" customHeight="false" outlineLevel="0" collapsed="false">
      <c r="A181" s="31"/>
      <c r="B181" s="32"/>
      <c r="C181" s="48" t="str">
        <f aca="false">IF(OR(A181="",B181=""),"",IFERROR(1/(1/SUMIFS('Check-in'!$C$6:$C$205,'Check-in'!$A$6:$A$205,A181,'Check-in'!$B$6:$B$205,B181)),""))</f>
        <v/>
      </c>
      <c r="D181" s="33"/>
      <c r="E181" s="49" t="str">
        <f aca="false">IF(OR(C181="",D181=""),"",ROUND((D181-C181)*24,1))</f>
        <v/>
      </c>
      <c r="F181" s="32"/>
      <c r="G181" s="32"/>
      <c r="H181" s="35" t="str">
        <f aca="false">IF(OR(A181="",B181=""),"",COUNTIFS(Bugs!$B$6:$B$305,A181,Bugs!$C$6:$C$305,B181))</f>
        <v/>
      </c>
      <c r="I181" s="35" t="str">
        <f aca="false">IF(OR(A181="",B181=""),"",COUNTIFS('UX Notes'!$A$6:$A$205,A181,'UX Notes'!$B$6:$B$205,B181))</f>
        <v/>
      </c>
      <c r="J181" s="32"/>
      <c r="K181" s="32"/>
      <c r="L181" s="32"/>
    </row>
    <row r="182" customFormat="false" ht="15" hidden="false" customHeight="false" outlineLevel="0" collapsed="false">
      <c r="A182" s="31"/>
      <c r="B182" s="32"/>
      <c r="C182" s="48" t="str">
        <f aca="false">IF(OR(A182="",B182=""),"",IFERROR(1/(1/SUMIFS('Check-in'!$C$6:$C$205,'Check-in'!$A$6:$A$205,A182,'Check-in'!$B$6:$B$205,B182)),""))</f>
        <v/>
      </c>
      <c r="D182" s="33"/>
      <c r="E182" s="49" t="str">
        <f aca="false">IF(OR(C182="",D182=""),"",ROUND((D182-C182)*24,1))</f>
        <v/>
      </c>
      <c r="F182" s="32"/>
      <c r="G182" s="32"/>
      <c r="H182" s="35" t="str">
        <f aca="false">IF(OR(A182="",B182=""),"",COUNTIFS(Bugs!$B$6:$B$305,A182,Bugs!$C$6:$C$305,B182))</f>
        <v/>
      </c>
      <c r="I182" s="35" t="str">
        <f aca="false">IF(OR(A182="",B182=""),"",COUNTIFS('UX Notes'!$A$6:$A$205,A182,'UX Notes'!$B$6:$B$205,B182))</f>
        <v/>
      </c>
      <c r="J182" s="32"/>
      <c r="K182" s="32"/>
      <c r="L182" s="32"/>
    </row>
    <row r="183" customFormat="false" ht="15" hidden="false" customHeight="false" outlineLevel="0" collapsed="false">
      <c r="A183" s="31"/>
      <c r="B183" s="32"/>
      <c r="C183" s="48" t="str">
        <f aca="false">IF(OR(A183="",B183=""),"",IFERROR(1/(1/SUMIFS('Check-in'!$C$6:$C$205,'Check-in'!$A$6:$A$205,A183,'Check-in'!$B$6:$B$205,B183)),""))</f>
        <v/>
      </c>
      <c r="D183" s="33"/>
      <c r="E183" s="49" t="str">
        <f aca="false">IF(OR(C183="",D183=""),"",ROUND((D183-C183)*24,1))</f>
        <v/>
      </c>
      <c r="F183" s="32"/>
      <c r="G183" s="32"/>
      <c r="H183" s="35" t="str">
        <f aca="false">IF(OR(A183="",B183=""),"",COUNTIFS(Bugs!$B$6:$B$305,A183,Bugs!$C$6:$C$305,B183))</f>
        <v/>
      </c>
      <c r="I183" s="35" t="str">
        <f aca="false">IF(OR(A183="",B183=""),"",COUNTIFS('UX Notes'!$A$6:$A$205,A183,'UX Notes'!$B$6:$B$205,B183))</f>
        <v/>
      </c>
      <c r="J183" s="32"/>
      <c r="K183" s="32"/>
      <c r="L183" s="32"/>
    </row>
    <row r="184" customFormat="false" ht="15" hidden="false" customHeight="false" outlineLevel="0" collapsed="false">
      <c r="A184" s="31"/>
      <c r="B184" s="32"/>
      <c r="C184" s="48" t="str">
        <f aca="false">IF(OR(A184="",B184=""),"",IFERROR(1/(1/SUMIFS('Check-in'!$C$6:$C$205,'Check-in'!$A$6:$A$205,A184,'Check-in'!$B$6:$B$205,B184)),""))</f>
        <v/>
      </c>
      <c r="D184" s="33"/>
      <c r="E184" s="49" t="str">
        <f aca="false">IF(OR(C184="",D184=""),"",ROUND((D184-C184)*24,1))</f>
        <v/>
      </c>
      <c r="F184" s="32"/>
      <c r="G184" s="32"/>
      <c r="H184" s="35" t="str">
        <f aca="false">IF(OR(A184="",B184=""),"",COUNTIFS(Bugs!$B$6:$B$305,A184,Bugs!$C$6:$C$305,B184))</f>
        <v/>
      </c>
      <c r="I184" s="35" t="str">
        <f aca="false">IF(OR(A184="",B184=""),"",COUNTIFS('UX Notes'!$A$6:$A$205,A184,'UX Notes'!$B$6:$B$205,B184))</f>
        <v/>
      </c>
      <c r="J184" s="32"/>
      <c r="K184" s="32"/>
      <c r="L184" s="32"/>
    </row>
    <row r="185" customFormat="false" ht="15" hidden="false" customHeight="false" outlineLevel="0" collapsed="false">
      <c r="A185" s="31"/>
      <c r="B185" s="32"/>
      <c r="C185" s="48" t="str">
        <f aca="false">IF(OR(A185="",B185=""),"",IFERROR(1/(1/SUMIFS('Check-in'!$C$6:$C$205,'Check-in'!$A$6:$A$205,A185,'Check-in'!$B$6:$B$205,B185)),""))</f>
        <v/>
      </c>
      <c r="D185" s="33"/>
      <c r="E185" s="49" t="str">
        <f aca="false">IF(OR(C185="",D185=""),"",ROUND((D185-C185)*24,1))</f>
        <v/>
      </c>
      <c r="F185" s="32"/>
      <c r="G185" s="32"/>
      <c r="H185" s="35" t="str">
        <f aca="false">IF(OR(A185="",B185=""),"",COUNTIFS(Bugs!$B$6:$B$305,A185,Bugs!$C$6:$C$305,B185))</f>
        <v/>
      </c>
      <c r="I185" s="35" t="str">
        <f aca="false">IF(OR(A185="",B185=""),"",COUNTIFS('UX Notes'!$A$6:$A$205,A185,'UX Notes'!$B$6:$B$205,B185))</f>
        <v/>
      </c>
      <c r="J185" s="32"/>
      <c r="K185" s="32"/>
      <c r="L185" s="32"/>
    </row>
    <row r="186" customFormat="false" ht="15" hidden="false" customHeight="false" outlineLevel="0" collapsed="false">
      <c r="A186" s="31"/>
      <c r="B186" s="32"/>
      <c r="C186" s="48" t="str">
        <f aca="false">IF(OR(A186="",B186=""),"",IFERROR(1/(1/SUMIFS('Check-in'!$C$6:$C$205,'Check-in'!$A$6:$A$205,A186,'Check-in'!$B$6:$B$205,B186)),""))</f>
        <v/>
      </c>
      <c r="D186" s="33"/>
      <c r="E186" s="49" t="str">
        <f aca="false">IF(OR(C186="",D186=""),"",ROUND((D186-C186)*24,1))</f>
        <v/>
      </c>
      <c r="F186" s="32"/>
      <c r="G186" s="32"/>
      <c r="H186" s="35" t="str">
        <f aca="false">IF(OR(A186="",B186=""),"",COUNTIFS(Bugs!$B$6:$B$305,A186,Bugs!$C$6:$C$305,B186))</f>
        <v/>
      </c>
      <c r="I186" s="35" t="str">
        <f aca="false">IF(OR(A186="",B186=""),"",COUNTIFS('UX Notes'!$A$6:$A$205,A186,'UX Notes'!$B$6:$B$205,B186))</f>
        <v/>
      </c>
      <c r="J186" s="32"/>
      <c r="K186" s="32"/>
      <c r="L186" s="32"/>
    </row>
    <row r="187" customFormat="false" ht="15" hidden="false" customHeight="false" outlineLevel="0" collapsed="false">
      <c r="A187" s="31"/>
      <c r="B187" s="32"/>
      <c r="C187" s="48" t="str">
        <f aca="false">IF(OR(A187="",B187=""),"",IFERROR(1/(1/SUMIFS('Check-in'!$C$6:$C$205,'Check-in'!$A$6:$A$205,A187,'Check-in'!$B$6:$B$205,B187)),""))</f>
        <v/>
      </c>
      <c r="D187" s="33"/>
      <c r="E187" s="49" t="str">
        <f aca="false">IF(OR(C187="",D187=""),"",ROUND((D187-C187)*24,1))</f>
        <v/>
      </c>
      <c r="F187" s="32"/>
      <c r="G187" s="32"/>
      <c r="H187" s="35" t="str">
        <f aca="false">IF(OR(A187="",B187=""),"",COUNTIFS(Bugs!$B$6:$B$305,A187,Bugs!$C$6:$C$305,B187))</f>
        <v/>
      </c>
      <c r="I187" s="35" t="str">
        <f aca="false">IF(OR(A187="",B187=""),"",COUNTIFS('UX Notes'!$A$6:$A$205,A187,'UX Notes'!$B$6:$B$205,B187))</f>
        <v/>
      </c>
      <c r="J187" s="32"/>
      <c r="K187" s="32"/>
      <c r="L187" s="32"/>
    </row>
    <row r="188" customFormat="false" ht="15" hidden="false" customHeight="false" outlineLevel="0" collapsed="false">
      <c r="A188" s="31"/>
      <c r="B188" s="32"/>
      <c r="C188" s="48" t="str">
        <f aca="false">IF(OR(A188="",B188=""),"",IFERROR(1/(1/SUMIFS('Check-in'!$C$6:$C$205,'Check-in'!$A$6:$A$205,A188,'Check-in'!$B$6:$B$205,B188)),""))</f>
        <v/>
      </c>
      <c r="D188" s="33"/>
      <c r="E188" s="49" t="str">
        <f aca="false">IF(OR(C188="",D188=""),"",ROUND((D188-C188)*24,1))</f>
        <v/>
      </c>
      <c r="F188" s="32"/>
      <c r="G188" s="32"/>
      <c r="H188" s="35" t="str">
        <f aca="false">IF(OR(A188="",B188=""),"",COUNTIFS(Bugs!$B$6:$B$305,A188,Bugs!$C$6:$C$305,B188))</f>
        <v/>
      </c>
      <c r="I188" s="35" t="str">
        <f aca="false">IF(OR(A188="",B188=""),"",COUNTIFS('UX Notes'!$A$6:$A$205,A188,'UX Notes'!$B$6:$B$205,B188))</f>
        <v/>
      </c>
      <c r="J188" s="32"/>
      <c r="K188" s="32"/>
      <c r="L188" s="32"/>
    </row>
    <row r="189" customFormat="false" ht="15" hidden="false" customHeight="false" outlineLevel="0" collapsed="false">
      <c r="A189" s="31"/>
      <c r="B189" s="32"/>
      <c r="C189" s="48" t="str">
        <f aca="false">IF(OR(A189="",B189=""),"",IFERROR(1/(1/SUMIFS('Check-in'!$C$6:$C$205,'Check-in'!$A$6:$A$205,A189,'Check-in'!$B$6:$B$205,B189)),""))</f>
        <v/>
      </c>
      <c r="D189" s="33"/>
      <c r="E189" s="49" t="str">
        <f aca="false">IF(OR(C189="",D189=""),"",ROUND((D189-C189)*24,1))</f>
        <v/>
      </c>
      <c r="F189" s="32"/>
      <c r="G189" s="32"/>
      <c r="H189" s="35" t="str">
        <f aca="false">IF(OR(A189="",B189=""),"",COUNTIFS(Bugs!$B$6:$B$305,A189,Bugs!$C$6:$C$305,B189))</f>
        <v/>
      </c>
      <c r="I189" s="35" t="str">
        <f aca="false">IF(OR(A189="",B189=""),"",COUNTIFS('UX Notes'!$A$6:$A$205,A189,'UX Notes'!$B$6:$B$205,B189))</f>
        <v/>
      </c>
      <c r="J189" s="32"/>
      <c r="K189" s="32"/>
      <c r="L189" s="32"/>
    </row>
    <row r="190" customFormat="false" ht="15" hidden="false" customHeight="false" outlineLevel="0" collapsed="false">
      <c r="A190" s="31"/>
      <c r="B190" s="32"/>
      <c r="C190" s="48" t="str">
        <f aca="false">IF(OR(A190="",B190=""),"",IFERROR(1/(1/SUMIFS('Check-in'!$C$6:$C$205,'Check-in'!$A$6:$A$205,A190,'Check-in'!$B$6:$B$205,B190)),""))</f>
        <v/>
      </c>
      <c r="D190" s="33"/>
      <c r="E190" s="49" t="str">
        <f aca="false">IF(OR(C190="",D190=""),"",ROUND((D190-C190)*24,1))</f>
        <v/>
      </c>
      <c r="F190" s="32"/>
      <c r="G190" s="32"/>
      <c r="H190" s="35" t="str">
        <f aca="false">IF(OR(A190="",B190=""),"",COUNTIFS(Bugs!$B$6:$B$305,A190,Bugs!$C$6:$C$305,B190))</f>
        <v/>
      </c>
      <c r="I190" s="35" t="str">
        <f aca="false">IF(OR(A190="",B190=""),"",COUNTIFS('UX Notes'!$A$6:$A$205,A190,'UX Notes'!$B$6:$B$205,B190))</f>
        <v/>
      </c>
      <c r="J190" s="32"/>
      <c r="K190" s="32"/>
      <c r="L190" s="32"/>
    </row>
    <row r="191" customFormat="false" ht="15" hidden="false" customHeight="false" outlineLevel="0" collapsed="false">
      <c r="A191" s="31"/>
      <c r="B191" s="32"/>
      <c r="C191" s="48" t="str">
        <f aca="false">IF(OR(A191="",B191=""),"",IFERROR(1/(1/SUMIFS('Check-in'!$C$6:$C$205,'Check-in'!$A$6:$A$205,A191,'Check-in'!$B$6:$B$205,B191)),""))</f>
        <v/>
      </c>
      <c r="D191" s="33"/>
      <c r="E191" s="49" t="str">
        <f aca="false">IF(OR(C191="",D191=""),"",ROUND((D191-C191)*24,1))</f>
        <v/>
      </c>
      <c r="F191" s="32"/>
      <c r="G191" s="32"/>
      <c r="H191" s="35" t="str">
        <f aca="false">IF(OR(A191="",B191=""),"",COUNTIFS(Bugs!$B$6:$B$305,A191,Bugs!$C$6:$C$305,B191))</f>
        <v/>
      </c>
      <c r="I191" s="35" t="str">
        <f aca="false">IF(OR(A191="",B191=""),"",COUNTIFS('UX Notes'!$A$6:$A$205,A191,'UX Notes'!$B$6:$B$205,B191))</f>
        <v/>
      </c>
      <c r="J191" s="32"/>
      <c r="K191" s="32"/>
      <c r="L191" s="32"/>
    </row>
    <row r="192" customFormat="false" ht="15" hidden="false" customHeight="false" outlineLevel="0" collapsed="false">
      <c r="A192" s="31"/>
      <c r="B192" s="32"/>
      <c r="C192" s="48" t="str">
        <f aca="false">IF(OR(A192="",B192=""),"",IFERROR(1/(1/SUMIFS('Check-in'!$C$6:$C$205,'Check-in'!$A$6:$A$205,A192,'Check-in'!$B$6:$B$205,B192)),""))</f>
        <v/>
      </c>
      <c r="D192" s="33"/>
      <c r="E192" s="49" t="str">
        <f aca="false">IF(OR(C192="",D192=""),"",ROUND((D192-C192)*24,1))</f>
        <v/>
      </c>
      <c r="F192" s="32"/>
      <c r="G192" s="32"/>
      <c r="H192" s="35" t="str">
        <f aca="false">IF(OR(A192="",B192=""),"",COUNTIFS(Bugs!$B$6:$B$305,A192,Bugs!$C$6:$C$305,B192))</f>
        <v/>
      </c>
      <c r="I192" s="35" t="str">
        <f aca="false">IF(OR(A192="",B192=""),"",COUNTIFS('UX Notes'!$A$6:$A$205,A192,'UX Notes'!$B$6:$B$205,B192))</f>
        <v/>
      </c>
      <c r="J192" s="32"/>
      <c r="K192" s="32"/>
      <c r="L192" s="32"/>
    </row>
    <row r="193" customFormat="false" ht="15" hidden="false" customHeight="false" outlineLevel="0" collapsed="false">
      <c r="A193" s="31"/>
      <c r="B193" s="32"/>
      <c r="C193" s="48" t="str">
        <f aca="false">IF(OR(A193="",B193=""),"",IFERROR(1/(1/SUMIFS('Check-in'!$C$6:$C$205,'Check-in'!$A$6:$A$205,A193,'Check-in'!$B$6:$B$205,B193)),""))</f>
        <v/>
      </c>
      <c r="D193" s="33"/>
      <c r="E193" s="49" t="str">
        <f aca="false">IF(OR(C193="",D193=""),"",ROUND((D193-C193)*24,1))</f>
        <v/>
      </c>
      <c r="F193" s="32"/>
      <c r="G193" s="32"/>
      <c r="H193" s="35" t="str">
        <f aca="false">IF(OR(A193="",B193=""),"",COUNTIFS(Bugs!$B$6:$B$305,A193,Bugs!$C$6:$C$305,B193))</f>
        <v/>
      </c>
      <c r="I193" s="35" t="str">
        <f aca="false">IF(OR(A193="",B193=""),"",COUNTIFS('UX Notes'!$A$6:$A$205,A193,'UX Notes'!$B$6:$B$205,B193))</f>
        <v/>
      </c>
      <c r="J193" s="32"/>
      <c r="K193" s="32"/>
      <c r="L193" s="32"/>
    </row>
    <row r="194" customFormat="false" ht="15" hidden="false" customHeight="false" outlineLevel="0" collapsed="false">
      <c r="A194" s="31"/>
      <c r="B194" s="32"/>
      <c r="C194" s="48" t="str">
        <f aca="false">IF(OR(A194="",B194=""),"",IFERROR(1/(1/SUMIFS('Check-in'!$C$6:$C$205,'Check-in'!$A$6:$A$205,A194,'Check-in'!$B$6:$B$205,B194)),""))</f>
        <v/>
      </c>
      <c r="D194" s="33"/>
      <c r="E194" s="49" t="str">
        <f aca="false">IF(OR(C194="",D194=""),"",ROUND((D194-C194)*24,1))</f>
        <v/>
      </c>
      <c r="F194" s="32"/>
      <c r="G194" s="32"/>
      <c r="H194" s="35" t="str">
        <f aca="false">IF(OR(A194="",B194=""),"",COUNTIFS(Bugs!$B$6:$B$305,A194,Bugs!$C$6:$C$305,B194))</f>
        <v/>
      </c>
      <c r="I194" s="35" t="str">
        <f aca="false">IF(OR(A194="",B194=""),"",COUNTIFS('UX Notes'!$A$6:$A$205,A194,'UX Notes'!$B$6:$B$205,B194))</f>
        <v/>
      </c>
      <c r="J194" s="32"/>
      <c r="K194" s="32"/>
      <c r="L194" s="32"/>
    </row>
    <row r="195" customFormat="false" ht="15" hidden="false" customHeight="false" outlineLevel="0" collapsed="false">
      <c r="A195" s="31"/>
      <c r="B195" s="32"/>
      <c r="C195" s="48" t="str">
        <f aca="false">IF(OR(A195="",B195=""),"",IFERROR(1/(1/SUMIFS('Check-in'!$C$6:$C$205,'Check-in'!$A$6:$A$205,A195,'Check-in'!$B$6:$B$205,B195)),""))</f>
        <v/>
      </c>
      <c r="D195" s="33"/>
      <c r="E195" s="49" t="str">
        <f aca="false">IF(OR(C195="",D195=""),"",ROUND((D195-C195)*24,1))</f>
        <v/>
      </c>
      <c r="F195" s="32"/>
      <c r="G195" s="32"/>
      <c r="H195" s="35" t="str">
        <f aca="false">IF(OR(A195="",B195=""),"",COUNTIFS(Bugs!$B$6:$B$305,A195,Bugs!$C$6:$C$305,B195))</f>
        <v/>
      </c>
      <c r="I195" s="35" t="str">
        <f aca="false">IF(OR(A195="",B195=""),"",COUNTIFS('UX Notes'!$A$6:$A$205,A195,'UX Notes'!$B$6:$B$205,B195))</f>
        <v/>
      </c>
      <c r="J195" s="32"/>
      <c r="K195" s="32"/>
      <c r="L195" s="32"/>
    </row>
    <row r="196" customFormat="false" ht="15" hidden="false" customHeight="false" outlineLevel="0" collapsed="false">
      <c r="A196" s="31"/>
      <c r="B196" s="32"/>
      <c r="C196" s="48" t="str">
        <f aca="false">IF(OR(A196="",B196=""),"",IFERROR(1/(1/SUMIFS('Check-in'!$C$6:$C$205,'Check-in'!$A$6:$A$205,A196,'Check-in'!$B$6:$B$205,B196)),""))</f>
        <v/>
      </c>
      <c r="D196" s="33"/>
      <c r="E196" s="49" t="str">
        <f aca="false">IF(OR(C196="",D196=""),"",ROUND((D196-C196)*24,1))</f>
        <v/>
      </c>
      <c r="F196" s="32"/>
      <c r="G196" s="32"/>
      <c r="H196" s="35" t="str">
        <f aca="false">IF(OR(A196="",B196=""),"",COUNTIFS(Bugs!$B$6:$B$305,A196,Bugs!$C$6:$C$305,B196))</f>
        <v/>
      </c>
      <c r="I196" s="35" t="str">
        <f aca="false">IF(OR(A196="",B196=""),"",COUNTIFS('UX Notes'!$A$6:$A$205,A196,'UX Notes'!$B$6:$B$205,B196))</f>
        <v/>
      </c>
      <c r="J196" s="32"/>
      <c r="K196" s="32"/>
      <c r="L196" s="32"/>
    </row>
    <row r="197" customFormat="false" ht="15" hidden="false" customHeight="false" outlineLevel="0" collapsed="false">
      <c r="A197" s="31"/>
      <c r="B197" s="32"/>
      <c r="C197" s="48" t="str">
        <f aca="false">IF(OR(A197="",B197=""),"",IFERROR(1/(1/SUMIFS('Check-in'!$C$6:$C$205,'Check-in'!$A$6:$A$205,A197,'Check-in'!$B$6:$B$205,B197)),""))</f>
        <v/>
      </c>
      <c r="D197" s="33"/>
      <c r="E197" s="49" t="str">
        <f aca="false">IF(OR(C197="",D197=""),"",ROUND((D197-C197)*24,1))</f>
        <v/>
      </c>
      <c r="F197" s="32"/>
      <c r="G197" s="32"/>
      <c r="H197" s="35" t="str">
        <f aca="false">IF(OR(A197="",B197=""),"",COUNTIFS(Bugs!$B$6:$B$305,A197,Bugs!$C$6:$C$305,B197))</f>
        <v/>
      </c>
      <c r="I197" s="35" t="str">
        <f aca="false">IF(OR(A197="",B197=""),"",COUNTIFS('UX Notes'!$A$6:$A$205,A197,'UX Notes'!$B$6:$B$205,B197))</f>
        <v/>
      </c>
      <c r="J197" s="32"/>
      <c r="K197" s="32"/>
      <c r="L197" s="32"/>
    </row>
    <row r="198" customFormat="false" ht="15" hidden="false" customHeight="false" outlineLevel="0" collapsed="false">
      <c r="A198" s="31"/>
      <c r="B198" s="32"/>
      <c r="C198" s="48" t="str">
        <f aca="false">IF(OR(A198="",B198=""),"",IFERROR(1/(1/SUMIFS('Check-in'!$C$6:$C$205,'Check-in'!$A$6:$A$205,A198,'Check-in'!$B$6:$B$205,B198)),""))</f>
        <v/>
      </c>
      <c r="D198" s="33"/>
      <c r="E198" s="49" t="str">
        <f aca="false">IF(OR(C198="",D198=""),"",ROUND((D198-C198)*24,1))</f>
        <v/>
      </c>
      <c r="F198" s="32"/>
      <c r="G198" s="32"/>
      <c r="H198" s="35" t="str">
        <f aca="false">IF(OR(A198="",B198=""),"",COUNTIFS(Bugs!$B$6:$B$305,A198,Bugs!$C$6:$C$305,B198))</f>
        <v/>
      </c>
      <c r="I198" s="35" t="str">
        <f aca="false">IF(OR(A198="",B198=""),"",COUNTIFS('UX Notes'!$A$6:$A$205,A198,'UX Notes'!$B$6:$B$205,B198))</f>
        <v/>
      </c>
      <c r="J198" s="32"/>
      <c r="K198" s="32"/>
      <c r="L198" s="32"/>
    </row>
    <row r="199" customFormat="false" ht="15" hidden="false" customHeight="false" outlineLevel="0" collapsed="false">
      <c r="A199" s="31"/>
      <c r="B199" s="32"/>
      <c r="C199" s="48" t="str">
        <f aca="false">IF(OR(A199="",B199=""),"",IFERROR(1/(1/SUMIFS('Check-in'!$C$6:$C$205,'Check-in'!$A$6:$A$205,A199,'Check-in'!$B$6:$B$205,B199)),""))</f>
        <v/>
      </c>
      <c r="D199" s="33"/>
      <c r="E199" s="49" t="str">
        <f aca="false">IF(OR(C199="",D199=""),"",ROUND((D199-C199)*24,1))</f>
        <v/>
      </c>
      <c r="F199" s="32"/>
      <c r="G199" s="32"/>
      <c r="H199" s="35" t="str">
        <f aca="false">IF(OR(A199="",B199=""),"",COUNTIFS(Bugs!$B$6:$B$305,A199,Bugs!$C$6:$C$305,B199))</f>
        <v/>
      </c>
      <c r="I199" s="35" t="str">
        <f aca="false">IF(OR(A199="",B199=""),"",COUNTIFS('UX Notes'!$A$6:$A$205,A199,'UX Notes'!$B$6:$B$205,B199))</f>
        <v/>
      </c>
      <c r="J199" s="32"/>
      <c r="K199" s="32"/>
      <c r="L199" s="32"/>
    </row>
    <row r="200" customFormat="false" ht="15" hidden="false" customHeight="false" outlineLevel="0" collapsed="false">
      <c r="A200" s="31"/>
      <c r="B200" s="32"/>
      <c r="C200" s="48" t="str">
        <f aca="false">IF(OR(A200="",B200=""),"",IFERROR(1/(1/SUMIFS('Check-in'!$C$6:$C$205,'Check-in'!$A$6:$A$205,A200,'Check-in'!$B$6:$B$205,B200)),""))</f>
        <v/>
      </c>
      <c r="D200" s="33"/>
      <c r="E200" s="49" t="str">
        <f aca="false">IF(OR(C200="",D200=""),"",ROUND((D200-C200)*24,1))</f>
        <v/>
      </c>
      <c r="F200" s="32"/>
      <c r="G200" s="32"/>
      <c r="H200" s="35" t="str">
        <f aca="false">IF(OR(A200="",B200=""),"",COUNTIFS(Bugs!$B$6:$B$305,A200,Bugs!$C$6:$C$305,B200))</f>
        <v/>
      </c>
      <c r="I200" s="35" t="str">
        <f aca="false">IF(OR(A200="",B200=""),"",COUNTIFS('UX Notes'!$A$6:$A$205,A200,'UX Notes'!$B$6:$B$205,B200))</f>
        <v/>
      </c>
      <c r="J200" s="32"/>
      <c r="K200" s="32"/>
      <c r="L200" s="32"/>
    </row>
    <row r="201" customFormat="false" ht="15" hidden="false" customHeight="false" outlineLevel="0" collapsed="false">
      <c r="A201" s="31"/>
      <c r="B201" s="32"/>
      <c r="C201" s="48" t="str">
        <f aca="false">IF(OR(A201="",B201=""),"",IFERROR(1/(1/SUMIFS('Check-in'!$C$6:$C$205,'Check-in'!$A$6:$A$205,A201,'Check-in'!$B$6:$B$205,B201)),""))</f>
        <v/>
      </c>
      <c r="D201" s="33"/>
      <c r="E201" s="49" t="str">
        <f aca="false">IF(OR(C201="",D201=""),"",ROUND((D201-C201)*24,1))</f>
        <v/>
      </c>
      <c r="F201" s="32"/>
      <c r="G201" s="32"/>
      <c r="H201" s="35" t="str">
        <f aca="false">IF(OR(A201="",B201=""),"",COUNTIFS(Bugs!$B$6:$B$305,A201,Bugs!$C$6:$C$305,B201))</f>
        <v/>
      </c>
      <c r="I201" s="35" t="str">
        <f aca="false">IF(OR(A201="",B201=""),"",COUNTIFS('UX Notes'!$A$6:$A$205,A201,'UX Notes'!$B$6:$B$205,B201))</f>
        <v/>
      </c>
      <c r="J201" s="32"/>
      <c r="K201" s="32"/>
      <c r="L201" s="32"/>
    </row>
    <row r="202" customFormat="false" ht="15" hidden="false" customHeight="false" outlineLevel="0" collapsed="false">
      <c r="A202" s="31"/>
      <c r="B202" s="32"/>
      <c r="C202" s="48" t="str">
        <f aca="false">IF(OR(A202="",B202=""),"",IFERROR(1/(1/SUMIFS('Check-in'!$C$6:$C$205,'Check-in'!$A$6:$A$205,A202,'Check-in'!$B$6:$B$205,B202)),""))</f>
        <v/>
      </c>
      <c r="D202" s="33"/>
      <c r="E202" s="49" t="str">
        <f aca="false">IF(OR(C202="",D202=""),"",ROUND((D202-C202)*24,1))</f>
        <v/>
      </c>
      <c r="F202" s="32"/>
      <c r="G202" s="32"/>
      <c r="H202" s="35" t="str">
        <f aca="false">IF(OR(A202="",B202=""),"",COUNTIFS(Bugs!$B$6:$B$305,A202,Bugs!$C$6:$C$305,B202))</f>
        <v/>
      </c>
      <c r="I202" s="35" t="str">
        <f aca="false">IF(OR(A202="",B202=""),"",COUNTIFS('UX Notes'!$A$6:$A$205,A202,'UX Notes'!$B$6:$B$205,B202))</f>
        <v/>
      </c>
      <c r="J202" s="32"/>
      <c r="K202" s="32"/>
      <c r="L202" s="32"/>
    </row>
    <row r="203" customFormat="false" ht="15" hidden="false" customHeight="false" outlineLevel="0" collapsed="false">
      <c r="A203" s="31"/>
      <c r="B203" s="32"/>
      <c r="C203" s="48" t="str">
        <f aca="false">IF(OR(A203="",B203=""),"",IFERROR(1/(1/SUMIFS('Check-in'!$C$6:$C$205,'Check-in'!$A$6:$A$205,A203,'Check-in'!$B$6:$B$205,B203)),""))</f>
        <v/>
      </c>
      <c r="D203" s="33"/>
      <c r="E203" s="49" t="str">
        <f aca="false">IF(OR(C203="",D203=""),"",ROUND((D203-C203)*24,1))</f>
        <v/>
      </c>
      <c r="F203" s="32"/>
      <c r="G203" s="32"/>
      <c r="H203" s="35" t="str">
        <f aca="false">IF(OR(A203="",B203=""),"",COUNTIFS(Bugs!$B$6:$B$305,A203,Bugs!$C$6:$C$305,B203))</f>
        <v/>
      </c>
      <c r="I203" s="35" t="str">
        <f aca="false">IF(OR(A203="",B203=""),"",COUNTIFS('UX Notes'!$A$6:$A$205,A203,'UX Notes'!$B$6:$B$205,B203))</f>
        <v/>
      </c>
      <c r="J203" s="32"/>
      <c r="K203" s="32"/>
      <c r="L203" s="32"/>
    </row>
    <row r="204" customFormat="false" ht="15" hidden="false" customHeight="false" outlineLevel="0" collapsed="false">
      <c r="A204" s="31"/>
      <c r="B204" s="32"/>
      <c r="C204" s="48" t="str">
        <f aca="false">IF(OR(A204="",B204=""),"",IFERROR(1/(1/SUMIFS('Check-in'!$C$6:$C$205,'Check-in'!$A$6:$A$205,A204,'Check-in'!$B$6:$B$205,B204)),""))</f>
        <v/>
      </c>
      <c r="D204" s="33"/>
      <c r="E204" s="49" t="str">
        <f aca="false">IF(OR(C204="",D204=""),"",ROUND((D204-C204)*24,1))</f>
        <v/>
      </c>
      <c r="F204" s="32"/>
      <c r="G204" s="32"/>
      <c r="H204" s="35" t="str">
        <f aca="false">IF(OR(A204="",B204=""),"",COUNTIFS(Bugs!$B$6:$B$305,A204,Bugs!$C$6:$C$305,B204))</f>
        <v/>
      </c>
      <c r="I204" s="35" t="str">
        <f aca="false">IF(OR(A204="",B204=""),"",COUNTIFS('UX Notes'!$A$6:$A$205,A204,'UX Notes'!$B$6:$B$205,B204))</f>
        <v/>
      </c>
      <c r="J204" s="32"/>
      <c r="K204" s="32"/>
      <c r="L204" s="32"/>
    </row>
    <row r="205" customFormat="false" ht="15" hidden="false" customHeight="false" outlineLevel="0" collapsed="false">
      <c r="A205" s="31"/>
      <c r="B205" s="32"/>
      <c r="C205" s="48" t="str">
        <f aca="false">IF(OR(A205="",B205=""),"",IFERROR(1/(1/SUMIFS('Check-in'!$C$6:$C$205,'Check-in'!$A$6:$A$205,A205,'Check-in'!$B$6:$B$205,B205)),""))</f>
        <v/>
      </c>
      <c r="D205" s="33"/>
      <c r="E205" s="49" t="str">
        <f aca="false">IF(OR(C205="",D205=""),"",ROUND((D205-C205)*24,1))</f>
        <v/>
      </c>
      <c r="F205" s="32"/>
      <c r="G205" s="32"/>
      <c r="H205" s="35" t="str">
        <f aca="false">IF(OR(A205="",B205=""),"",COUNTIFS(Bugs!$B$6:$B$305,A205,Bugs!$C$6:$C$305,B205))</f>
        <v/>
      </c>
      <c r="I205" s="35" t="str">
        <f aca="false">IF(OR(A205="",B205=""),"",COUNTIFS('UX Notes'!$A$6:$A$205,A205,'UX Notes'!$B$6:$B$205,B205))</f>
        <v/>
      </c>
      <c r="J205" s="32"/>
      <c r="K205" s="32"/>
      <c r="L205" s="32"/>
    </row>
  </sheetData>
  <autoFilter ref="A4:L205"/>
  <mergeCells count="2">
    <mergeCell ref="A1:L1"/>
    <mergeCell ref="A2:L2"/>
  </mergeCells>
  <conditionalFormatting sqref="E6:E205">
    <cfRule type="expression" priority="2" aboveAverage="0" equalAverage="0" bottom="0" percent="0" rank="0" text="" dxfId="24">
      <formula>AND(ISNUMBER($E6),$E6&gt;=2)</formula>
    </cfRule>
    <cfRule type="expression" priority="3" aboveAverage="0" equalAverage="0" bottom="0" percent="0" rank="0" text="" dxfId="25">
      <formula>AND(ISNUMBER($E6),$E6&lt;2)</formula>
    </cfRule>
  </conditionalFormatting>
  <conditionalFormatting sqref="L6:L205">
    <cfRule type="expression" priority="4" aboveAverage="0" equalAverage="0" bottom="0" percent="0" rank="0" text="" dxfId="26">
      <formula>AND($L6&lt;&gt;"",LOWER($L6)&lt;&gt;"none")</formula>
    </cfRule>
  </conditionalFormatting>
  <dataValidations count="3">
    <dataValidation allowBlank="true" error="Type a date such as 21-Oct-2026." errorStyle="stop" errorTitle="Not a date" operator="greaterThan" prompt="Type like 21-Oct-2026 or press Ctrl + ; for today." promptTitle="Date" showDropDown="false" showErrorMessage="true" showInputMessage="true" sqref="A6:A205" type="date">
      <formula1>43831</formula1>
      <formula2>0</formula2>
    </dataValidation>
    <dataValidation allowBlank="true" error="Please choose one of the options in the dropdown." errorStyle="stop" errorTitle="Pick from the list" operator="between" prompt="Pick your name." promptTitle="Tester" showDropDown="false" showErrorMessage="false" showInputMessage="true" sqref="B6:B205" type="list">
      <formula1>'READ ME'!$C$51:$C$58</formula1>
      <formula2>0</formula2>
    </dataValidation>
    <dataValidation allowBlank="true" error="Type a time such as 10:00 or 4:30 PM." errorStyle="stop" errorTitle="Not a time" operator="between" prompt="When you stopped, for example 1:00 PM." promptTitle="Time" showDropDown="false" showErrorMessage="true" showInputMessage="true" sqref="D6:D205" type="time">
      <formula1>0</formula1>
      <formula2>0.999988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0F0C"/>
    <pageSetUpPr fitToPage="true"/>
  </sheetPr>
  <dimension ref="A1:I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2"/>
  </cols>
  <sheetData>
    <row r="1" customFormat="false" ht="30" hidden="false" customHeight="true" outlineLevel="0" collapsed="false">
      <c r="A1" s="1" t="s">
        <v>400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401</v>
      </c>
      <c r="B2" s="2"/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A4" s="50" t="s">
        <v>402</v>
      </c>
      <c r="B4" s="50"/>
      <c r="C4" s="50"/>
      <c r="D4" s="50"/>
      <c r="E4" s="50"/>
      <c r="F4" s="50"/>
      <c r="G4" s="50"/>
      <c r="H4" s="50"/>
      <c r="I4" s="50"/>
    </row>
    <row r="5" customFormat="false" ht="30" hidden="false" customHeight="true" outlineLevel="0" collapsed="false">
      <c r="A5" s="28" t="s">
        <v>123</v>
      </c>
      <c r="B5" s="28" t="s">
        <v>12</v>
      </c>
      <c r="C5" s="28" t="s">
        <v>403</v>
      </c>
      <c r="D5" s="28" t="s">
        <v>404</v>
      </c>
      <c r="E5" s="28" t="s">
        <v>405</v>
      </c>
      <c r="F5" s="28" t="s">
        <v>406</v>
      </c>
      <c r="G5" s="28" t="s">
        <v>407</v>
      </c>
    </row>
    <row r="6" customFormat="false" ht="15" hidden="false" customHeight="false" outlineLevel="0" collapsed="false">
      <c r="A6" s="51" t="n">
        <v>1</v>
      </c>
      <c r="B6" s="52" t="n">
        <f aca="false">COUNTIFS(Tasks!$B$5:$B$48,$A6)</f>
        <v>7</v>
      </c>
      <c r="C6" s="52" t="n">
        <f aca="false">COUNTIFS(Tasks!$B$5:$B$48,$A6,Tasks!$H$5:$H$48,"Done")</f>
        <v>0</v>
      </c>
      <c r="D6" s="52" t="n">
        <f aca="false">COUNTIFS(Tasks!$B$5:$B$48,$A6,Tasks!$H$5:$H$48,"Blocked")</f>
        <v>0</v>
      </c>
      <c r="E6" s="52" t="n">
        <f aca="false">SUMIFS(Tasks!$G$5:$G$48,Tasks!$B$5:$B$48,$A6)</f>
        <v>150</v>
      </c>
      <c r="F6" s="52" t="n">
        <f aca="false">SUMIFS(Tasks!$G$5:$G$48,Tasks!$B$5:$B$48,$A6,Tasks!$H$5:$H$48,"Done")</f>
        <v>0</v>
      </c>
      <c r="G6" s="53" t="n">
        <f aca="false">IFERROR(C6/B6,0)</f>
        <v>0</v>
      </c>
    </row>
    <row r="7" customFormat="false" ht="15" hidden="false" customHeight="false" outlineLevel="0" collapsed="false">
      <c r="A7" s="51" t="n">
        <v>2</v>
      </c>
      <c r="B7" s="52" t="n">
        <f aca="false">COUNTIFS(Tasks!$B$5:$B$48,$A7)</f>
        <v>8</v>
      </c>
      <c r="C7" s="52" t="n">
        <f aca="false">COUNTIFS(Tasks!$B$5:$B$48,$A7,Tasks!$H$5:$H$48,"Done")</f>
        <v>0</v>
      </c>
      <c r="D7" s="52" t="n">
        <f aca="false">COUNTIFS(Tasks!$B$5:$B$48,$A7,Tasks!$H$5:$H$48,"Blocked")</f>
        <v>0</v>
      </c>
      <c r="E7" s="52" t="n">
        <f aca="false">SUMIFS(Tasks!$G$5:$G$48,Tasks!$B$5:$B$48,$A7)</f>
        <v>150</v>
      </c>
      <c r="F7" s="52" t="n">
        <f aca="false">SUMIFS(Tasks!$G$5:$G$48,Tasks!$B$5:$B$48,$A7,Tasks!$H$5:$H$48,"Done")</f>
        <v>0</v>
      </c>
      <c r="G7" s="53" t="n">
        <f aca="false">IFERROR(C7/B7,0)</f>
        <v>0</v>
      </c>
    </row>
    <row r="8" customFormat="false" ht="15" hidden="false" customHeight="false" outlineLevel="0" collapsed="false">
      <c r="A8" s="51" t="n">
        <v>3</v>
      </c>
      <c r="B8" s="52" t="n">
        <f aca="false">COUNTIFS(Tasks!$B$5:$B$48,$A8)</f>
        <v>8</v>
      </c>
      <c r="C8" s="52" t="n">
        <f aca="false">COUNTIFS(Tasks!$B$5:$B$48,$A8,Tasks!$H$5:$H$48,"Done")</f>
        <v>0</v>
      </c>
      <c r="D8" s="52" t="n">
        <f aca="false">COUNTIFS(Tasks!$B$5:$B$48,$A8,Tasks!$H$5:$H$48,"Blocked")</f>
        <v>0</v>
      </c>
      <c r="E8" s="52" t="n">
        <f aca="false">SUMIFS(Tasks!$G$5:$G$48,Tasks!$B$5:$B$48,$A8)</f>
        <v>165</v>
      </c>
      <c r="F8" s="52" t="n">
        <f aca="false">SUMIFS(Tasks!$G$5:$G$48,Tasks!$B$5:$B$48,$A8,Tasks!$H$5:$H$48,"Done")</f>
        <v>0</v>
      </c>
      <c r="G8" s="53" t="n">
        <f aca="false">IFERROR(C8/B8,0)</f>
        <v>0</v>
      </c>
    </row>
    <row r="9" customFormat="false" ht="15" hidden="false" customHeight="false" outlineLevel="0" collapsed="false">
      <c r="A9" s="51" t="n">
        <v>4</v>
      </c>
      <c r="B9" s="52" t="n">
        <f aca="false">COUNTIFS(Tasks!$B$5:$B$48,$A9)</f>
        <v>9</v>
      </c>
      <c r="C9" s="52" t="n">
        <f aca="false">COUNTIFS(Tasks!$B$5:$B$48,$A9,Tasks!$H$5:$H$48,"Done")</f>
        <v>0</v>
      </c>
      <c r="D9" s="52" t="n">
        <f aca="false">COUNTIFS(Tasks!$B$5:$B$48,$A9,Tasks!$H$5:$H$48,"Blocked")</f>
        <v>0</v>
      </c>
      <c r="E9" s="52" t="n">
        <f aca="false">SUMIFS(Tasks!$G$5:$G$48,Tasks!$B$5:$B$48,$A9)</f>
        <v>150</v>
      </c>
      <c r="F9" s="52" t="n">
        <f aca="false">SUMIFS(Tasks!$G$5:$G$48,Tasks!$B$5:$B$48,$A9,Tasks!$H$5:$H$48,"Done")</f>
        <v>0</v>
      </c>
      <c r="G9" s="53" t="n">
        <f aca="false">IFERROR(C9/B9,0)</f>
        <v>0</v>
      </c>
    </row>
    <row r="10" customFormat="false" ht="15" hidden="false" customHeight="false" outlineLevel="0" collapsed="false">
      <c r="A10" s="51" t="n">
        <v>5</v>
      </c>
      <c r="B10" s="52" t="n">
        <f aca="false">COUNTIFS(Tasks!$B$5:$B$48,$A10)</f>
        <v>7</v>
      </c>
      <c r="C10" s="52" t="n">
        <f aca="false">COUNTIFS(Tasks!$B$5:$B$48,$A10,Tasks!$H$5:$H$48,"Done")</f>
        <v>0</v>
      </c>
      <c r="D10" s="52" t="n">
        <f aca="false">COUNTIFS(Tasks!$B$5:$B$48,$A10,Tasks!$H$5:$H$48,"Blocked")</f>
        <v>0</v>
      </c>
      <c r="E10" s="52" t="n">
        <f aca="false">SUMIFS(Tasks!$G$5:$G$48,Tasks!$B$5:$B$48,$A10)</f>
        <v>150</v>
      </c>
      <c r="F10" s="52" t="n">
        <f aca="false">SUMIFS(Tasks!$G$5:$G$48,Tasks!$B$5:$B$48,$A10,Tasks!$H$5:$H$48,"Done")</f>
        <v>0</v>
      </c>
      <c r="G10" s="53" t="n">
        <f aca="false">IFERROR(C10/B10,0)</f>
        <v>0</v>
      </c>
    </row>
    <row r="11" customFormat="false" ht="15" hidden="false" customHeight="false" outlineLevel="0" collapsed="false">
      <c r="A11" s="54" t="s">
        <v>408</v>
      </c>
      <c r="B11" s="54" t="n">
        <f aca="false">SUM(B6:B10)</f>
        <v>39</v>
      </c>
      <c r="C11" s="54" t="n">
        <f aca="false">SUM(C6:C10)</f>
        <v>0</v>
      </c>
      <c r="D11" s="55" t="n">
        <f aca="false">SUM(D6:D10)</f>
        <v>0</v>
      </c>
      <c r="E11" s="54" t="n">
        <f aca="false">SUM(E6:E10)</f>
        <v>765</v>
      </c>
      <c r="F11" s="54" t="n">
        <f aca="false">SUM(F6:F10)</f>
        <v>0</v>
      </c>
      <c r="G11" s="56" t="n">
        <f aca="false">IFERROR(C11/B11,0)</f>
        <v>0</v>
      </c>
    </row>
    <row r="12" customFormat="false" ht="15" hidden="false" customHeight="false" outlineLevel="0" collapsed="false">
      <c r="A12" s="57" t="s">
        <v>325</v>
      </c>
      <c r="B12" s="52" t="n">
        <f aca="false">COUNTIFS(Tasks!$B$5:$B$48,$A12)</f>
        <v>5</v>
      </c>
      <c r="C12" s="52" t="n">
        <f aca="false">COUNTIFS(Tasks!$B$5:$B$48,$A12,Tasks!$H$5:$H$48,"Done")</f>
        <v>0</v>
      </c>
      <c r="D12" s="52" t="n">
        <f aca="false">COUNTIFS(Tasks!$B$5:$B$48,$A12,Tasks!$H$5:$H$48,"Blocked")</f>
        <v>0</v>
      </c>
      <c r="E12" s="52" t="n">
        <f aca="false">SUMIFS(Tasks!$G$5:$G$48,Tasks!$B$5:$B$48,$A12)</f>
        <v>100</v>
      </c>
      <c r="F12" s="52" t="n">
        <f aca="false">SUMIFS(Tasks!$G$5:$G$48,Tasks!$B$5:$B$48,$A12,Tasks!$H$5:$H$48,"Done")</f>
        <v>0</v>
      </c>
      <c r="G12" s="53" t="n">
        <f aca="false">IFERROR(C12/B12,0)</f>
        <v>0</v>
      </c>
    </row>
    <row r="14" customFormat="false" ht="21.75" hidden="false" customHeight="true" outlineLevel="0" collapsed="false">
      <c r="A14" s="50" t="s">
        <v>409</v>
      </c>
      <c r="B14" s="50"/>
      <c r="C14" s="50"/>
      <c r="D14" s="50"/>
      <c r="E14" s="50"/>
      <c r="F14" s="50"/>
      <c r="G14" s="50"/>
      <c r="H14" s="50"/>
      <c r="I14" s="50"/>
    </row>
    <row r="15" customFormat="false" ht="30" hidden="false" customHeight="true" outlineLevel="0" collapsed="false">
      <c r="A15" s="28" t="s">
        <v>63</v>
      </c>
      <c r="B15" s="28" t="s">
        <v>367</v>
      </c>
      <c r="C15" s="28" t="s">
        <v>410</v>
      </c>
      <c r="D15" s="28" t="s">
        <v>411</v>
      </c>
      <c r="E15" s="28" t="s">
        <v>412</v>
      </c>
      <c r="F15" s="28" t="s">
        <v>413</v>
      </c>
      <c r="G15" s="28" t="s">
        <v>414</v>
      </c>
      <c r="H15" s="28" t="s">
        <v>415</v>
      </c>
    </row>
    <row r="16" customFormat="false" ht="15" hidden="false" customHeight="false" outlineLevel="0" collapsed="false">
      <c r="A16" s="58" t="s">
        <v>66</v>
      </c>
      <c r="B16" s="52" t="n">
        <f aca="false">COUNTIFS(Bugs!$I$6:$I$305,$A16,Bugs!$J$6:$J$305,"New")</f>
        <v>0</v>
      </c>
      <c r="C16" s="52" t="n">
        <f aca="false">COUNTIFS(Bugs!$I$6:$I$305,$A16,Bugs!$J$6:$J$305,"Seen")</f>
        <v>0</v>
      </c>
      <c r="D16" s="52" t="n">
        <f aca="false">COUNTIFS(Bugs!$I$6:$I$305,$A16,Bugs!$J$6:$J$305,"Fixed")</f>
        <v>0</v>
      </c>
      <c r="E16" s="52" t="n">
        <f aca="false">COUNTIFS(Bugs!$I$6:$I$305,$A16,Bugs!$J$6:$J$305,"Closed")</f>
        <v>0</v>
      </c>
      <c r="F16" s="52" t="n">
        <f aca="false">COUNTIFS(Bugs!$I$6:$I$305,$A16,Bugs!$J$6:$J$305,"Reopened")</f>
        <v>0</v>
      </c>
      <c r="G16" s="52" t="n">
        <f aca="false">COUNTIFS(Bugs!$I$6:$I$305,$A16,Bugs!$J$6:$J$305,"Duplicate")</f>
        <v>0</v>
      </c>
      <c r="H16" s="51" t="n">
        <f aca="false">SUM(B16:G16)</f>
        <v>0</v>
      </c>
    </row>
    <row r="17" customFormat="false" ht="15" hidden="false" customHeight="false" outlineLevel="0" collapsed="false">
      <c r="A17" s="59" t="s">
        <v>69</v>
      </c>
      <c r="B17" s="52" t="n">
        <f aca="false">COUNTIFS(Bugs!$I$6:$I$305,$A17,Bugs!$J$6:$J$305,"New")</f>
        <v>0</v>
      </c>
      <c r="C17" s="52" t="n">
        <f aca="false">COUNTIFS(Bugs!$I$6:$I$305,$A17,Bugs!$J$6:$J$305,"Seen")</f>
        <v>0</v>
      </c>
      <c r="D17" s="52" t="n">
        <f aca="false">COUNTIFS(Bugs!$I$6:$I$305,$A17,Bugs!$J$6:$J$305,"Fixed")</f>
        <v>0</v>
      </c>
      <c r="E17" s="52" t="n">
        <f aca="false">COUNTIFS(Bugs!$I$6:$I$305,$A17,Bugs!$J$6:$J$305,"Closed")</f>
        <v>0</v>
      </c>
      <c r="F17" s="52" t="n">
        <f aca="false">COUNTIFS(Bugs!$I$6:$I$305,$A17,Bugs!$J$6:$J$305,"Reopened")</f>
        <v>0</v>
      </c>
      <c r="G17" s="52" t="n">
        <f aca="false">COUNTIFS(Bugs!$I$6:$I$305,$A17,Bugs!$J$6:$J$305,"Duplicate")</f>
        <v>0</v>
      </c>
      <c r="H17" s="51" t="n">
        <f aca="false">SUM(B17:G17)</f>
        <v>0</v>
      </c>
    </row>
    <row r="18" customFormat="false" ht="15" hidden="false" customHeight="false" outlineLevel="0" collapsed="false">
      <c r="A18" s="60" t="s">
        <v>72</v>
      </c>
      <c r="B18" s="52" t="n">
        <f aca="false">COUNTIFS(Bugs!$I$6:$I$305,$A18,Bugs!$J$6:$J$305,"New")</f>
        <v>0</v>
      </c>
      <c r="C18" s="52" t="n">
        <f aca="false">COUNTIFS(Bugs!$I$6:$I$305,$A18,Bugs!$J$6:$J$305,"Seen")</f>
        <v>0</v>
      </c>
      <c r="D18" s="52" t="n">
        <f aca="false">COUNTIFS(Bugs!$I$6:$I$305,$A18,Bugs!$J$6:$J$305,"Fixed")</f>
        <v>0</v>
      </c>
      <c r="E18" s="52" t="n">
        <f aca="false">COUNTIFS(Bugs!$I$6:$I$305,$A18,Bugs!$J$6:$J$305,"Closed")</f>
        <v>0</v>
      </c>
      <c r="F18" s="52" t="n">
        <f aca="false">COUNTIFS(Bugs!$I$6:$I$305,$A18,Bugs!$J$6:$J$305,"Reopened")</f>
        <v>0</v>
      </c>
      <c r="G18" s="52" t="n">
        <f aca="false">COUNTIFS(Bugs!$I$6:$I$305,$A18,Bugs!$J$6:$J$305,"Duplicate")</f>
        <v>0</v>
      </c>
      <c r="H18" s="51" t="n">
        <f aca="false">SUM(B18:G18)</f>
        <v>0</v>
      </c>
    </row>
    <row r="19" customFormat="false" ht="15" hidden="false" customHeight="false" outlineLevel="0" collapsed="false">
      <c r="A19" s="61" t="s">
        <v>75</v>
      </c>
      <c r="B19" s="52" t="n">
        <f aca="false">COUNTIFS(Bugs!$I$6:$I$305,$A19,Bugs!$J$6:$J$305,"New")</f>
        <v>0</v>
      </c>
      <c r="C19" s="52" t="n">
        <f aca="false">COUNTIFS(Bugs!$I$6:$I$305,$A19,Bugs!$J$6:$J$305,"Seen")</f>
        <v>0</v>
      </c>
      <c r="D19" s="52" t="n">
        <f aca="false">COUNTIFS(Bugs!$I$6:$I$305,$A19,Bugs!$J$6:$J$305,"Fixed")</f>
        <v>0</v>
      </c>
      <c r="E19" s="52" t="n">
        <f aca="false">COUNTIFS(Bugs!$I$6:$I$305,$A19,Bugs!$J$6:$J$305,"Closed")</f>
        <v>0</v>
      </c>
      <c r="F19" s="52" t="n">
        <f aca="false">COUNTIFS(Bugs!$I$6:$I$305,$A19,Bugs!$J$6:$J$305,"Reopened")</f>
        <v>0</v>
      </c>
      <c r="G19" s="52" t="n">
        <f aca="false">COUNTIFS(Bugs!$I$6:$I$305,$A19,Bugs!$J$6:$J$305,"Duplicate")</f>
        <v>0</v>
      </c>
      <c r="H19" s="51" t="n">
        <f aca="false">SUM(B19:G19)</f>
        <v>0</v>
      </c>
    </row>
    <row r="20" customFormat="false" ht="15" hidden="false" customHeight="false" outlineLevel="0" collapsed="false">
      <c r="A20" s="54" t="s">
        <v>416</v>
      </c>
      <c r="B20" s="54" t="n">
        <f aca="false">SUM(B16:B19)</f>
        <v>0</v>
      </c>
      <c r="C20" s="54" t="n">
        <f aca="false">SUM(C16:C19)</f>
        <v>0</v>
      </c>
      <c r="D20" s="54" t="n">
        <f aca="false">SUM(D16:D19)</f>
        <v>0</v>
      </c>
      <c r="E20" s="54" t="n">
        <f aca="false">SUM(E16:E19)</f>
        <v>0</v>
      </c>
      <c r="F20" s="54" t="n">
        <f aca="false">SUM(F16:F19)</f>
        <v>0</v>
      </c>
      <c r="G20" s="54" t="n">
        <f aca="false">SUM(G16:G19)</f>
        <v>0</v>
      </c>
      <c r="H20" s="54" t="n">
        <f aca="false">SUM(H16:H19)</f>
        <v>0</v>
      </c>
    </row>
    <row r="21" customFormat="false" ht="15" hidden="false" customHeight="false" outlineLevel="0" collapsed="false">
      <c r="A21" s="62" t="s">
        <v>417</v>
      </c>
    </row>
    <row r="23" customFormat="false" ht="21.75" hidden="false" customHeight="true" outlineLevel="0" collapsed="false">
      <c r="A23" s="50" t="s">
        <v>418</v>
      </c>
      <c r="B23" s="50"/>
      <c r="C23" s="50"/>
      <c r="D23" s="50"/>
      <c r="E23" s="50"/>
      <c r="F23" s="50"/>
      <c r="G23" s="50"/>
      <c r="H23" s="50"/>
      <c r="I23" s="50"/>
    </row>
    <row r="24" customFormat="false" ht="30" hidden="false" customHeight="true" outlineLevel="0" collapsed="false">
      <c r="A24" s="28" t="s">
        <v>106</v>
      </c>
      <c r="B24" s="28" t="s">
        <v>419</v>
      </c>
      <c r="C24" s="28" t="s">
        <v>420</v>
      </c>
      <c r="D24" s="28" t="s">
        <v>421</v>
      </c>
      <c r="E24" s="28" t="s">
        <v>16</v>
      </c>
      <c r="F24" s="28" t="s">
        <v>422</v>
      </c>
      <c r="G24" s="28" t="s">
        <v>423</v>
      </c>
      <c r="H24" s="28" t="s">
        <v>424</v>
      </c>
    </row>
    <row r="25" customFormat="false" ht="15" hidden="false" customHeight="false" outlineLevel="0" collapsed="false">
      <c r="A25" s="63" t="str">
        <f aca="false">IF('READ ME'!$C$51="","",'READ ME'!$C$51)</f>
        <v>Asha (example)</v>
      </c>
      <c r="B25" s="52" t="n">
        <f aca="false">IF($A25="","",COUNTIFS('Check-in'!$B$6:$B$205,$A25))</f>
        <v>0</v>
      </c>
      <c r="C25" s="52" t="n">
        <f aca="false">IF($A25="","",COUNTIFS('Check-out'!$B$6:$B$205,$A25))</f>
        <v>0</v>
      </c>
      <c r="D25" s="64" t="n">
        <f aca="false">IF($A25="","",SUMIFS('Check-out'!$E$6:$E$205,'Check-out'!$B$6:$B$205,$A25))</f>
        <v>0</v>
      </c>
      <c r="E25" s="52" t="n">
        <f aca="false">IF($A25="","",COUNTIFS(Bugs!$C$6:$C$305,$A25))</f>
        <v>0</v>
      </c>
      <c r="F25" s="52" t="n">
        <f aca="false">IF($A25="","",COUNTIFS(Bugs!$C$6:$C$305,$A25,Bugs!$I$6:$I$305,"Blocker")+COUNTIFS(Bugs!$C$6:$C$305,$A25,Bugs!$I$6:$I$305,"Major"))</f>
        <v>0</v>
      </c>
      <c r="G25" s="52" t="n">
        <f aca="false">IF($A25="","",COUNTIFS('UX Notes'!$B$6:$B$205,$A25))</f>
        <v>0</v>
      </c>
      <c r="H25" s="52" t="n">
        <f aca="false">IF($A25="","",COUNTIFS(Tasks!$J$5:$J$48,"*"&amp;$A25&amp;"*",Tasks!$H$5:$H$48,"Done"))</f>
        <v>0</v>
      </c>
    </row>
    <row r="26" customFormat="false" ht="15" hidden="false" customHeight="false" outlineLevel="0" collapsed="false">
      <c r="A26" s="63" t="str">
        <f aca="false">IF('READ ME'!$C$52="","",'READ ME'!$C$52)</f>
        <v>Rahul (example)</v>
      </c>
      <c r="B26" s="52" t="n">
        <f aca="false">IF($A26="","",COUNTIFS('Check-in'!$B$6:$B$205,$A26))</f>
        <v>0</v>
      </c>
      <c r="C26" s="52" t="n">
        <f aca="false">IF($A26="","",COUNTIFS('Check-out'!$B$6:$B$205,$A26))</f>
        <v>0</v>
      </c>
      <c r="D26" s="64" t="n">
        <f aca="false">IF($A26="","",SUMIFS('Check-out'!$E$6:$E$205,'Check-out'!$B$6:$B$205,$A26))</f>
        <v>0</v>
      </c>
      <c r="E26" s="52" t="n">
        <f aca="false">IF($A26="","",COUNTIFS(Bugs!$C$6:$C$305,$A26))</f>
        <v>0</v>
      </c>
      <c r="F26" s="52" t="n">
        <f aca="false">IF($A26="","",COUNTIFS(Bugs!$C$6:$C$305,$A26,Bugs!$I$6:$I$305,"Blocker")+COUNTIFS(Bugs!$C$6:$C$305,$A26,Bugs!$I$6:$I$305,"Major"))</f>
        <v>0</v>
      </c>
      <c r="G26" s="52" t="n">
        <f aca="false">IF($A26="","",COUNTIFS('UX Notes'!$B$6:$B$205,$A26))</f>
        <v>0</v>
      </c>
      <c r="H26" s="52" t="n">
        <f aca="false">IF($A26="","",COUNTIFS(Tasks!$J$5:$J$48,"*"&amp;$A26&amp;"*",Tasks!$H$5:$H$48,"Done"))</f>
        <v>0</v>
      </c>
    </row>
    <row r="27" customFormat="false" ht="15" hidden="false" customHeight="false" outlineLevel="0" collapsed="false">
      <c r="A27" s="63" t="str">
        <f aca="false">IF('READ ME'!$C$53="","",'READ ME'!$C$53)</f>
        <v/>
      </c>
      <c r="B27" s="52" t="str">
        <f aca="false">IF($A27="","",COUNTIFS('Check-in'!$B$6:$B$205,$A27))</f>
        <v/>
      </c>
      <c r="C27" s="52" t="str">
        <f aca="false">IF($A27="","",COUNTIFS('Check-out'!$B$6:$B$205,$A27))</f>
        <v/>
      </c>
      <c r="D27" s="64" t="str">
        <f aca="false">IF($A27="","",SUMIFS('Check-out'!$E$6:$E$205,'Check-out'!$B$6:$B$205,$A27))</f>
        <v/>
      </c>
      <c r="E27" s="52" t="str">
        <f aca="false">IF($A27="","",COUNTIFS(Bugs!$C$6:$C$305,$A27))</f>
        <v/>
      </c>
      <c r="F27" s="52" t="str">
        <f aca="false">IF($A27="","",COUNTIFS(Bugs!$C$6:$C$305,$A27,Bugs!$I$6:$I$305,"Blocker")+COUNTIFS(Bugs!$C$6:$C$305,$A27,Bugs!$I$6:$I$305,"Major"))</f>
        <v/>
      </c>
      <c r="G27" s="52" t="str">
        <f aca="false">IF($A27="","",COUNTIFS('UX Notes'!$B$6:$B$205,$A27))</f>
        <v/>
      </c>
      <c r="H27" s="52" t="str">
        <f aca="false">IF($A27="","",COUNTIFS(Tasks!$J$5:$J$48,"*"&amp;$A27&amp;"*",Tasks!$H$5:$H$48,"Done"))</f>
        <v/>
      </c>
    </row>
    <row r="28" customFormat="false" ht="15" hidden="false" customHeight="false" outlineLevel="0" collapsed="false">
      <c r="A28" s="63" t="str">
        <f aca="false">IF('READ ME'!$C$54="","",'READ ME'!$C$54)</f>
        <v/>
      </c>
      <c r="B28" s="52" t="str">
        <f aca="false">IF($A28="","",COUNTIFS('Check-in'!$B$6:$B$205,$A28))</f>
        <v/>
      </c>
      <c r="C28" s="52" t="str">
        <f aca="false">IF($A28="","",COUNTIFS('Check-out'!$B$6:$B$205,$A28))</f>
        <v/>
      </c>
      <c r="D28" s="64" t="str">
        <f aca="false">IF($A28="","",SUMIFS('Check-out'!$E$6:$E$205,'Check-out'!$B$6:$B$205,$A28))</f>
        <v/>
      </c>
      <c r="E28" s="52" t="str">
        <f aca="false">IF($A28="","",COUNTIFS(Bugs!$C$6:$C$305,$A28))</f>
        <v/>
      </c>
      <c r="F28" s="52" t="str">
        <f aca="false">IF($A28="","",COUNTIFS(Bugs!$C$6:$C$305,$A28,Bugs!$I$6:$I$305,"Blocker")+COUNTIFS(Bugs!$C$6:$C$305,$A28,Bugs!$I$6:$I$305,"Major"))</f>
        <v/>
      </c>
      <c r="G28" s="52" t="str">
        <f aca="false">IF($A28="","",COUNTIFS('UX Notes'!$B$6:$B$205,$A28))</f>
        <v/>
      </c>
      <c r="H28" s="52" t="str">
        <f aca="false">IF($A28="","",COUNTIFS(Tasks!$J$5:$J$48,"*"&amp;$A28&amp;"*",Tasks!$H$5:$H$48,"Done"))</f>
        <v/>
      </c>
    </row>
    <row r="29" customFormat="false" ht="15" hidden="false" customHeight="false" outlineLevel="0" collapsed="false">
      <c r="A29" s="63" t="str">
        <f aca="false">IF('READ ME'!$C$55="","",'READ ME'!$C$55)</f>
        <v/>
      </c>
      <c r="B29" s="52" t="str">
        <f aca="false">IF($A29="","",COUNTIFS('Check-in'!$B$6:$B$205,$A29))</f>
        <v/>
      </c>
      <c r="C29" s="52" t="str">
        <f aca="false">IF($A29="","",COUNTIFS('Check-out'!$B$6:$B$205,$A29))</f>
        <v/>
      </c>
      <c r="D29" s="64" t="str">
        <f aca="false">IF($A29="","",SUMIFS('Check-out'!$E$6:$E$205,'Check-out'!$B$6:$B$205,$A29))</f>
        <v/>
      </c>
      <c r="E29" s="52" t="str">
        <f aca="false">IF($A29="","",COUNTIFS(Bugs!$C$6:$C$305,$A29))</f>
        <v/>
      </c>
      <c r="F29" s="52" t="str">
        <f aca="false">IF($A29="","",COUNTIFS(Bugs!$C$6:$C$305,$A29,Bugs!$I$6:$I$305,"Blocker")+COUNTIFS(Bugs!$C$6:$C$305,$A29,Bugs!$I$6:$I$305,"Major"))</f>
        <v/>
      </c>
      <c r="G29" s="52" t="str">
        <f aca="false">IF($A29="","",COUNTIFS('UX Notes'!$B$6:$B$205,$A29))</f>
        <v/>
      </c>
      <c r="H29" s="52" t="str">
        <f aca="false">IF($A29="","",COUNTIFS(Tasks!$J$5:$J$48,"*"&amp;$A29&amp;"*",Tasks!$H$5:$H$48,"Done"))</f>
        <v/>
      </c>
    </row>
    <row r="30" customFormat="false" ht="15" hidden="false" customHeight="false" outlineLevel="0" collapsed="false">
      <c r="A30" s="63" t="str">
        <f aca="false">IF('READ ME'!$C$56="","",'READ ME'!$C$56)</f>
        <v/>
      </c>
      <c r="B30" s="52" t="str">
        <f aca="false">IF($A30="","",COUNTIFS('Check-in'!$B$6:$B$205,$A30))</f>
        <v/>
      </c>
      <c r="C30" s="52" t="str">
        <f aca="false">IF($A30="","",COUNTIFS('Check-out'!$B$6:$B$205,$A30))</f>
        <v/>
      </c>
      <c r="D30" s="64" t="str">
        <f aca="false">IF($A30="","",SUMIFS('Check-out'!$E$6:$E$205,'Check-out'!$B$6:$B$205,$A30))</f>
        <v/>
      </c>
      <c r="E30" s="52" t="str">
        <f aca="false">IF($A30="","",COUNTIFS(Bugs!$C$6:$C$305,$A30))</f>
        <v/>
      </c>
      <c r="F30" s="52" t="str">
        <f aca="false">IF($A30="","",COUNTIFS(Bugs!$C$6:$C$305,$A30,Bugs!$I$6:$I$305,"Blocker")+COUNTIFS(Bugs!$C$6:$C$305,$A30,Bugs!$I$6:$I$305,"Major"))</f>
        <v/>
      </c>
      <c r="G30" s="52" t="str">
        <f aca="false">IF($A30="","",COUNTIFS('UX Notes'!$B$6:$B$205,$A30))</f>
        <v/>
      </c>
      <c r="H30" s="52" t="str">
        <f aca="false">IF($A30="","",COUNTIFS(Tasks!$J$5:$J$48,"*"&amp;$A30&amp;"*",Tasks!$H$5:$H$48,"Done"))</f>
        <v/>
      </c>
    </row>
    <row r="31" customFormat="false" ht="15" hidden="false" customHeight="false" outlineLevel="0" collapsed="false">
      <c r="A31" s="63" t="str">
        <f aca="false">IF('READ ME'!$C$57="","",'READ ME'!$C$57)</f>
        <v/>
      </c>
      <c r="B31" s="52" t="str">
        <f aca="false">IF($A31="","",COUNTIFS('Check-in'!$B$6:$B$205,$A31))</f>
        <v/>
      </c>
      <c r="C31" s="52" t="str">
        <f aca="false">IF($A31="","",COUNTIFS('Check-out'!$B$6:$B$205,$A31))</f>
        <v/>
      </c>
      <c r="D31" s="64" t="str">
        <f aca="false">IF($A31="","",SUMIFS('Check-out'!$E$6:$E$205,'Check-out'!$B$6:$B$205,$A31))</f>
        <v/>
      </c>
      <c r="E31" s="52" t="str">
        <f aca="false">IF($A31="","",COUNTIFS(Bugs!$C$6:$C$305,$A31))</f>
        <v/>
      </c>
      <c r="F31" s="52" t="str">
        <f aca="false">IF($A31="","",COUNTIFS(Bugs!$C$6:$C$305,$A31,Bugs!$I$6:$I$305,"Blocker")+COUNTIFS(Bugs!$C$6:$C$305,$A31,Bugs!$I$6:$I$305,"Major"))</f>
        <v/>
      </c>
      <c r="G31" s="52" t="str">
        <f aca="false">IF($A31="","",COUNTIFS('UX Notes'!$B$6:$B$205,$A31))</f>
        <v/>
      </c>
      <c r="H31" s="52" t="str">
        <f aca="false">IF($A31="","",COUNTIFS(Tasks!$J$5:$J$48,"*"&amp;$A31&amp;"*",Tasks!$H$5:$H$48,"Done"))</f>
        <v/>
      </c>
    </row>
    <row r="32" customFormat="false" ht="15" hidden="false" customHeight="false" outlineLevel="0" collapsed="false">
      <c r="A32" s="63" t="str">
        <f aca="false">IF('READ ME'!$C$58="","",'READ ME'!$C$58)</f>
        <v/>
      </c>
      <c r="B32" s="52" t="str">
        <f aca="false">IF($A32="","",COUNTIFS('Check-in'!$B$6:$B$205,$A32))</f>
        <v/>
      </c>
      <c r="C32" s="52" t="str">
        <f aca="false">IF($A32="","",COUNTIFS('Check-out'!$B$6:$B$205,$A32))</f>
        <v/>
      </c>
      <c r="D32" s="64" t="str">
        <f aca="false">IF($A32="","",SUMIFS('Check-out'!$E$6:$E$205,'Check-out'!$B$6:$B$205,$A32))</f>
        <v/>
      </c>
      <c r="E32" s="52" t="str">
        <f aca="false">IF($A32="","",COUNTIFS(Bugs!$C$6:$C$305,$A32))</f>
        <v/>
      </c>
      <c r="F32" s="52" t="str">
        <f aca="false">IF($A32="","",COUNTIFS(Bugs!$C$6:$C$305,$A32,Bugs!$I$6:$I$305,"Blocker")+COUNTIFS(Bugs!$C$6:$C$305,$A32,Bugs!$I$6:$I$305,"Major"))</f>
        <v/>
      </c>
      <c r="G32" s="52" t="str">
        <f aca="false">IF($A32="","",COUNTIFS('UX Notes'!$B$6:$B$205,$A32))</f>
        <v/>
      </c>
      <c r="H32" s="52" t="str">
        <f aca="false">IF($A32="","",COUNTIFS(Tasks!$J$5:$J$48,"*"&amp;$A32&amp;"*",Tasks!$H$5:$H$48,"Done"))</f>
        <v/>
      </c>
    </row>
    <row r="33" customFormat="false" ht="15" hidden="false" customHeight="false" outlineLevel="0" collapsed="false">
      <c r="A33" s="62" t="s">
        <v>425</v>
      </c>
    </row>
  </sheetData>
  <mergeCells count="5">
    <mergeCell ref="A1:I1"/>
    <mergeCell ref="A2:I2"/>
    <mergeCell ref="A4:I4"/>
    <mergeCell ref="A14:I14"/>
    <mergeCell ref="A23:I23"/>
  </mergeCells>
  <conditionalFormatting sqref="G6:G12">
    <cfRule type="expression" priority="2" aboveAverage="0" equalAverage="0" bottom="0" percent="0" rank="0" text="" dxfId="24">
      <formula>G6&gt;=0.8</formula>
    </cfRule>
    <cfRule type="expression" priority="3" aboveAverage="0" equalAverage="0" bottom="0" percent="0" rank="0" text="" dxfId="25">
      <formula>AND(G6&gt;0,G6&lt;0.8)</formula>
    </cfRule>
  </conditionalFormatting>
  <conditionalFormatting sqref="D6:D12">
    <cfRule type="expression" priority="4" aboveAverage="0" equalAverage="0" bottom="0" percent="0" rank="0" text="" dxfId="26">
      <formula>D6&gt;0</formula>
    </cfRule>
  </conditionalFormatting>
  <conditionalFormatting sqref="B16:B17">
    <cfRule type="expression" priority="5" aboveAverage="0" equalAverage="0" bottom="0" percent="0" rank="0" text="" dxfId="26">
      <formula>B16&gt;0</formula>
    </cfRule>
  </conditionalFormatting>
  <conditionalFormatting sqref="F16:F19">
    <cfRule type="expression" priority="6" aboveAverage="0" equalAverage="0" bottom="0" percent="0" rank="0" text="" dxfId="26">
      <formula>F16&gt;0</formula>
    </cfRule>
  </conditionalFormatting>
  <conditionalFormatting sqref="B25:C32">
    <cfRule type="expression" priority="7" aboveAverage="0" equalAverage="0" bottom="0" percent="0" rank="0" text="" dxfId="25">
      <formula>AND(ISNUMBER(B25),$B25&lt;&gt;$C25)</formula>
    </cfRule>
  </conditionalFormatting>
  <conditionalFormatting sqref="D25:D32">
    <cfRule type="expression" priority="8" aboveAverage="0" equalAverage="0" bottom="0" percent="0" rank="0" text="" dxfId="24">
      <formula>AND(ISNUMBER(D25),D25&gt;0)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5" t="s">
        <v>426</v>
      </c>
      <c r="B1" s="65" t="s">
        <v>63</v>
      </c>
      <c r="C1" s="65" t="s">
        <v>427</v>
      </c>
      <c r="D1" s="65" t="s">
        <v>376</v>
      </c>
      <c r="E1" s="65" t="s">
        <v>123</v>
      </c>
    </row>
    <row r="2" customFormat="false" ht="15" hidden="false" customHeight="false" outlineLevel="0" collapsed="false">
      <c r="A2" s="66" t="s">
        <v>137</v>
      </c>
      <c r="B2" s="66" t="s">
        <v>66</v>
      </c>
      <c r="C2" s="66" t="s">
        <v>367</v>
      </c>
      <c r="D2" s="66" t="s">
        <v>428</v>
      </c>
      <c r="E2" s="66" t="n">
        <v>1</v>
      </c>
    </row>
    <row r="3" customFormat="false" ht="15" hidden="false" customHeight="false" outlineLevel="0" collapsed="false">
      <c r="A3" s="66" t="s">
        <v>429</v>
      </c>
      <c r="B3" s="66" t="s">
        <v>69</v>
      </c>
      <c r="C3" s="66" t="s">
        <v>410</v>
      </c>
      <c r="D3" s="66" t="s">
        <v>381</v>
      </c>
      <c r="E3" s="66" t="n">
        <v>2</v>
      </c>
    </row>
    <row r="4" customFormat="false" ht="15" hidden="false" customHeight="false" outlineLevel="0" collapsed="false">
      <c r="A4" s="66" t="s">
        <v>403</v>
      </c>
      <c r="B4" s="66" t="s">
        <v>72</v>
      </c>
      <c r="C4" s="66" t="s">
        <v>411</v>
      </c>
      <c r="D4" s="66" t="s">
        <v>430</v>
      </c>
      <c r="E4" s="66" t="n">
        <v>3</v>
      </c>
    </row>
    <row r="5" customFormat="false" ht="15" hidden="false" customHeight="false" outlineLevel="0" collapsed="false">
      <c r="A5" s="66" t="s">
        <v>404</v>
      </c>
      <c r="B5" s="66" t="s">
        <v>75</v>
      </c>
      <c r="C5" s="66" t="s">
        <v>412</v>
      </c>
      <c r="E5" s="66" t="n">
        <v>4</v>
      </c>
    </row>
    <row r="6" customFormat="false" ht="15" hidden="false" customHeight="false" outlineLevel="0" collapsed="false">
      <c r="A6" s="66" t="s">
        <v>431</v>
      </c>
      <c r="C6" s="66" t="s">
        <v>413</v>
      </c>
      <c r="E6" s="66" t="n">
        <v>5</v>
      </c>
    </row>
    <row r="7" customFormat="false" ht="15" hidden="false" customHeight="false" outlineLevel="0" collapsed="false">
      <c r="C7" s="66" t="s">
        <v>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2026-10-21T15:45:04Z</dcterms:created>
  <dc:creator>openpyxl</dc:creator>
  <dc:description/>
  <dc:language>en-US</dc:language>
  <cp:lastModifiedBy/>
  <dcterms:modified xsi:type="dcterms:W3CDTF">2026-10-21T15:45:05Z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